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64e4655e923a28f/Desktop/Data analysis/PowerBI/Project1/Excel ^0 Power BI/HR Dashboard Excel/"/>
    </mc:Choice>
  </mc:AlternateContent>
  <xr:revisionPtr revIDLastSave="536" documentId="11_ECD56374E8699FAAF2240C0E556056BAE50C6DB3" xr6:coauthVersionLast="47" xr6:coauthVersionMax="47" xr10:uidLastSave="{AE993B15-7374-4D61-9FFE-A58C46A2A5E1}"/>
  <bookViews>
    <workbookView xWindow="-108" yWindow="-108" windowWidth="23256" windowHeight="13896" xr2:uid="{00000000-000D-0000-FFFF-FFFF00000000}"/>
  </bookViews>
  <sheets>
    <sheet name="Employees" sheetId="1" r:id="rId1"/>
    <sheet name="Attendance" sheetId="2" r:id="rId2"/>
    <sheet name="Performance" sheetId="3" r:id="rId3"/>
    <sheet name="Attrition" sheetId="4" r:id="rId4"/>
    <sheet name="All_PivotTable" sheetId="5" r:id="rId5"/>
    <sheet name="Dashboard" sheetId="11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<sst xmlns="http://schemas.openxmlformats.org/spreadsheetml/2006/main" count="260" uniqueCount="96">
  <si>
    <t>EmployeeID</t>
  </si>
  <si>
    <t>EmployeeName</t>
  </si>
  <si>
    <t>Gender</t>
  </si>
  <si>
    <t>Age</t>
  </si>
  <si>
    <t>Department</t>
  </si>
  <si>
    <t>JobRole</t>
  </si>
  <si>
    <t>Salary</t>
  </si>
  <si>
    <t>Education</t>
  </si>
  <si>
    <t>HireDate</t>
  </si>
  <si>
    <t>Arun</t>
  </si>
  <si>
    <t>Male</t>
  </si>
  <si>
    <t>Sales</t>
  </si>
  <si>
    <t>Sales Executive</t>
  </si>
  <si>
    <t>Bachelors</t>
  </si>
  <si>
    <t>2019-05-10</t>
  </si>
  <si>
    <t>Priya</t>
  </si>
  <si>
    <t>Female</t>
  </si>
  <si>
    <t>HR</t>
  </si>
  <si>
    <t>HR Associate</t>
  </si>
  <si>
    <t>Masters</t>
  </si>
  <si>
    <t>2020-01-15</t>
  </si>
  <si>
    <t>Karthik</t>
  </si>
  <si>
    <t>IT</t>
  </si>
  <si>
    <t>Software Engineer</t>
  </si>
  <si>
    <t>2021-03-22</t>
  </si>
  <si>
    <t>Ravi</t>
  </si>
  <si>
    <t>Finance</t>
  </si>
  <si>
    <t>Accountant</t>
  </si>
  <si>
    <t>2018-11-05</t>
  </si>
  <si>
    <t>Divya</t>
  </si>
  <si>
    <t>Data Analyst</t>
  </si>
  <si>
    <t>2021-07-12</t>
  </si>
  <si>
    <t>Suresh</t>
  </si>
  <si>
    <t>Sales Manager</t>
  </si>
  <si>
    <t>MBA</t>
  </si>
  <si>
    <t>2017-09-18</t>
  </si>
  <si>
    <t>Meena</t>
  </si>
  <si>
    <t>HR Manager</t>
  </si>
  <si>
    <t>2018-06-25</t>
  </si>
  <si>
    <t>Vikram</t>
  </si>
  <si>
    <t>Senior Developer</t>
  </si>
  <si>
    <t>2016-04-14</t>
  </si>
  <si>
    <t>Kiran</t>
  </si>
  <si>
    <t>Financial Analyst</t>
  </si>
  <si>
    <t>2019-08-21</t>
  </si>
  <si>
    <t>Anu</t>
  </si>
  <si>
    <t>2020-02-10</t>
  </si>
  <si>
    <t>Shiva</t>
  </si>
  <si>
    <t>2021-04-05</t>
  </si>
  <si>
    <t>Lakshmi</t>
  </si>
  <si>
    <t>2019-10-30</t>
  </si>
  <si>
    <t>Rahul</t>
  </si>
  <si>
    <t>2020-12-15</t>
  </si>
  <si>
    <t>Nisha</t>
  </si>
  <si>
    <t>2021-06-10</t>
  </si>
  <si>
    <t>Kumar</t>
  </si>
  <si>
    <t>2019-03-12</t>
  </si>
  <si>
    <t>Deepa</t>
  </si>
  <si>
    <t>2018-12-19</t>
  </si>
  <si>
    <t>Varun</t>
  </si>
  <si>
    <t>2017-07-01</t>
  </si>
  <si>
    <t>Harini</t>
  </si>
  <si>
    <t>2016-11-20</t>
  </si>
  <si>
    <t>Gopal</t>
  </si>
  <si>
    <t>2018-04-11</t>
  </si>
  <si>
    <t>Sandhya</t>
  </si>
  <si>
    <t>2017-08-09</t>
  </si>
  <si>
    <t>Month</t>
  </si>
  <si>
    <t>DaysPresent</t>
  </si>
  <si>
    <t>Jan-2024</t>
  </si>
  <si>
    <t>Feb-2024</t>
  </si>
  <si>
    <t>Mar-2024</t>
  </si>
  <si>
    <t>PerformanceRating</t>
  </si>
  <si>
    <t>PromotionEligible</t>
  </si>
  <si>
    <t>No</t>
  </si>
  <si>
    <t>Yes</t>
  </si>
  <si>
    <t>Attrition</t>
  </si>
  <si>
    <t>ExitDate</t>
  </si>
  <si>
    <t>ExitReason</t>
  </si>
  <si>
    <t>2023-12-15</t>
  </si>
  <si>
    <t>Better Salary</t>
  </si>
  <si>
    <t>2022-09-10</t>
  </si>
  <si>
    <t>Career Growth</t>
  </si>
  <si>
    <t>2023-06-20</t>
  </si>
  <si>
    <t>Relocation</t>
  </si>
  <si>
    <t>2023-01-05</t>
  </si>
  <si>
    <t>Work Stress</t>
  </si>
  <si>
    <t>2022-11-30</t>
  </si>
  <si>
    <t>Health Issues</t>
  </si>
  <si>
    <t>ExperienceYears</t>
  </si>
  <si>
    <t>Row Labels</t>
  </si>
  <si>
    <t>Grand Total</t>
  </si>
  <si>
    <t>Sum of EmployeeID</t>
  </si>
  <si>
    <t>Average of Salary</t>
  </si>
  <si>
    <t>Count of EmployeeID</t>
  </si>
  <si>
    <t>Sum of PerformanceRating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</si>
</sst>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8">
    <dxf>
      <numFmt numFmtId="165" formatCode="[$-409]d\-mmm\-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;[Red]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;[Red]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5" formatCode="[$-409]d\-mmm\-yyyy;@"/>
    </dxf>
    <dxf>
      <numFmt numFmtId="164" formatCode="0;[Red]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9C9C9"/>
      <color rgb="FF7ED321"/>
      <color rgb="FF4A90E2"/>
      <color rgb="FFF5A623"/>
      <color rgb="FFD0021B"/>
      <color rgb="FFD9D9D9"/>
      <color rgb="FF333333"/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[HR_Analysis_Project.xlsx]All_PivotTable!Emp_count_by_Dept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latin typeface="+mn-lt"/>
              </a:rPr>
              <a:t>Employee</a:t>
            </a:r>
            <a:r>
              <a:rPr lang="en-US" sz="1300" b="1" baseline="0">
                <a:latin typeface="+mn-lt"/>
              </a:rPr>
              <a:t> Count by Department</a:t>
            </a:r>
          </a:p>
        </c:rich>
      </c:tx>
      <c:layout>
        <c:manualLayout>
          <c:xMode val="edge"/>
          <c:yMode val="edge"/>
          <c:x val="0.2777123440113918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All_PivotTable!$B$3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90E2"/>
            </a:solidFill>
            <a:ln>
              <a:noFill/>
            </a:ln>
            <a:effectLst/>
          </c:spPr>
          <c:invertIfNegative val="0"/>
          <c:cat>
            <c:strRef>
              <c:f>All_PivotTable!$A$4:$A$8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All_PivotTable!$B$4:$B$8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F-414A-B18B-3C4A3E2F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1326560"/>
        <c:axId val="1381327040"/>
      </c:barChart>
      <c:catAx>
        <c:axId val="1381326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27040"/>
        <c:crosses val="autoZero"/>
        <c:auto val="1"/>
        <c:lblAlgn val="ctr"/>
        <c:lblOffset val="100"/>
        <c:noMultiLvlLbl val="0"/>
      </c:catAx>
      <c:valAx>
        <c:axId val="138132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[HR_Analysis_Project.xlsx]All_PivotTable!Avg_salary_by_Dept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Average</a:t>
            </a:r>
            <a:r>
              <a:rPr lang="en-US" sz="1300" b="1" baseline="0"/>
              <a:t> Salary by Department</a:t>
            </a:r>
            <a:endParaRPr lang="en-US" sz="1300" b="1"/>
          </a:p>
        </c:rich>
      </c:tx>
      <c:layout>
        <c:manualLayout>
          <c:xMode val="edge"/>
          <c:yMode val="edge"/>
          <c:x val="0.31614631963439266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All_PivotTable!$B$12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90E2"/>
            </a:solidFill>
            <a:ln>
              <a:noFill/>
            </a:ln>
            <a:effectLst/>
          </c:spPr>
          <c:invertIfNegative val="0"/>
          <c:cat>
            <c:strRef>
              <c:f>All_PivotTable!$A$13:$A$17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All_PivotTable!$B$13:$B$17</c:f>
              <c:numCache>
                <c:formatCode>0;[Red]0</c:formatCode>
                <c:ptCount val="4"/>
                <c:pt idx="0">
                  <c:v>49000</c:v>
                </c:pt>
                <c:pt idx="1">
                  <c:v>38400</c:v>
                </c:pt>
                <c:pt idx="2">
                  <c:v>53666.666666666664</c:v>
                </c:pt>
                <c:pt idx="3">
                  <c:v>46200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F-4057-B25A-2AB2123F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6928"/>
        <c:axId val="4685968"/>
      </c:barChart>
      <c:catAx>
        <c:axId val="46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968"/>
        <c:crosses val="autoZero"/>
        <c:auto val="1"/>
        <c:lblAlgn val="ctr"/>
        <c:lblOffset val="100"/>
        <c:noMultiLvlLbl val="0"/>
      </c:catAx>
      <c:valAx>
        <c:axId val="4685968"/>
        <c:scaling>
          <c:orientation val="minMax"/>
        </c:scaling>
        <c:delete val="0"/>
        <c:axPos val="l"/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[HR_Analysis_Project.xlsx]All_PivotTable!PivotTable6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/>
              <a:t>Performance</a:t>
            </a:r>
            <a:r>
              <a:rPr lang="en-IN" sz="1300" b="1" baseline="0"/>
              <a:t>Rating Summary</a:t>
            </a:r>
            <a:endParaRPr lang="en-IN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A90E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9C9C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9C9C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All_PivotTable!$H$3</c:f>
              <c:strCache>
                <c:ptCount val="1"/>
                <c:pt idx="0">
                  <c:v>Sum of PerformanceRating</c:v>
                </c:pt>
              </c:strCache>
            </c:strRef>
          </c:tx>
          <c:spPr>
            <a:solidFill>
              <a:srgbClr val="4A90E2"/>
            </a:solidFill>
            <a:ln>
              <a:noFill/>
            </a:ln>
            <a:effectLst/>
          </c:spPr>
          <c:invertIfNegative val="0"/>
          <c:cat>
            <c:strRef>
              <c:f>All_PivotTable!$H$4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All_PivotTable!$H$4</c:f>
              <c:numCache>
                <c:formatCode>0;[Red]0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B-403E-8625-11779C1AE84A}"/>
            </c:ext>
          </c:extLst>
        </c:ser>
        <c:ser>
          <c:idx val="1"/>
          <c:order val="1"/>
          <c:tx>
            <c:strRef>
              <c:f>All_PivotTable!$I$3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rgbClr val="C9C9C9"/>
            </a:solidFill>
            <a:ln>
              <a:noFill/>
            </a:ln>
            <a:effectLst/>
          </c:spPr>
          <c:invertIfNegative val="0"/>
          <c:cat>
            <c:strRef>
              <c:f>All_PivotTable!$H$4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All_PivotTable!$I$4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B-403E-8625-11779C1AE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229264"/>
        <c:axId val="1173226864"/>
      </c:barChart>
      <c:catAx>
        <c:axId val="11732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26864"/>
        <c:crosses val="autoZero"/>
        <c:auto val="1"/>
        <c:lblAlgn val="ctr"/>
        <c:lblOffset val="100"/>
        <c:noMultiLvlLbl val="0"/>
      </c:catAx>
      <c:valAx>
        <c:axId val="1173226864"/>
        <c:scaling>
          <c:orientation val="minMax"/>
        </c:scaling>
        <c:delete val="0"/>
        <c:axPos val="l"/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[HR_Analysis_Project.xlsx]All_PivotTable!Attrition_count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Overview</a:t>
            </a:r>
            <a:endParaRPr lang="en-US" b="1"/>
          </a:p>
        </c:rich>
      </c:tx>
      <c:layout>
        <c:manualLayout>
          <c:xMode val="edge"/>
          <c:yMode val="edge"/>
          <c:x val="0.2961940582851523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0021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0021B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All_PivotTable!$F$10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0021B"/>
            </a:solidFill>
          </c:spPr>
          <c:dPt>
            <c:idx val="0"/>
            <c:bubble3D val="0"/>
            <c:spPr>
              <a:solidFill>
                <a:srgbClr val="D002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E9-467D-B971-E7ED81111182}"/>
              </c:ext>
            </c:extLst>
          </c:dPt>
          <c:dPt>
            <c:idx val="1"/>
            <c:bubble3D val="0"/>
            <c:spPr>
              <a:solidFill>
                <a:srgbClr val="D002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9-467D-B971-E7ED81111182}"/>
              </c:ext>
            </c:extLst>
          </c:dPt>
          <c:cat>
            <c:strRef>
              <c:f>All_PivotTable!$E$11:$E$12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All_PivotTable!$F$11:$F$12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9-467D-B971-E7ED8111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[HR_Analysis_Project.xlsx]All_PivotTable!Gender_Distribution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Gender</a:t>
            </a:r>
            <a:r>
              <a:rPr lang="en-US" sz="1300" b="1" baseline="0"/>
              <a:t> Distribution</a:t>
            </a:r>
          </a:p>
        </c:rich>
      </c:tx>
      <c:layout>
        <c:manualLayout>
          <c:xMode val="edge"/>
          <c:yMode val="edge"/>
          <c:x val="0.3427082239720035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4A90E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All_PivotTable!$F$3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A90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38-448D-ABF9-21A4CFB1051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38-448D-ABF9-21A4CFB1051B}"/>
              </c:ext>
            </c:extLst>
          </c:dPt>
          <c:cat>
            <c:strRef>
              <c:f>All_PivotTable!$E$4:$E$6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All_PivotTable!$F$4:$F$6</c:f>
              <c:numCache>
                <c:formatCode>General</c:formatCode>
                <c:ptCount val="2"/>
                <c:pt idx="0">
                  <c:v>11106</c:v>
                </c:pt>
                <c:pt idx="1">
                  <c:v>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38-448D-ABF9-21A4CFB10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194553</xdr:colOff>
      <xdr:row>0</xdr:row>
      <xdr:rowOff>105383</xdr:rowOff>
    </xdr:from>
    <xdr:to>
      <xdr:col>19</xdr:col>
      <xdr:colOff>145915</xdr:colOff>
      <xdr:row>4</xdr:row>
      <xdr:rowOff>8106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E916FAD-6E31-4DEA-9E2C-29FE2B337194}"/>
            </a:ext>
          </a:extLst>
        </xdr:cNvPr>
        <xdr:cNvSpPr txBox="1"/>
      </xdr:nvSpPr>
      <xdr:spPr>
        <a:xfrm>
          <a:off x="3234447" y="105383"/>
          <a:ext cx="8463064" cy="648510"/>
        </a:xfrm>
        <a:prstGeom prst="roundRect">
          <a:avLst/>
        </a:prstGeom>
        <a:solidFill>
          <a:srgbClr val="F2F4F7"/>
        </a:solidFill>
        <a:ln w="9525" cmpd="sng">
          <a:solidFill>
            <a:srgbClr val="C9C9C9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/>
            <a:t>HR</a:t>
          </a:r>
          <a:r>
            <a:rPr lang="en-IN" sz="3200" b="1" baseline="0"/>
            <a:t> Analysis Dashboard</a:t>
          </a:r>
        </a:p>
      </xdr:txBody>
    </xdr:sp>
    <xdr:clientData/>
  </xdr:twoCellAnchor>
  <xdr:twoCellAnchor>
    <xdr:from>
      <xdr:col>0</xdr:col>
      <xdr:colOff>89170</xdr:colOff>
      <xdr:row>5</xdr:row>
      <xdr:rowOff>129703</xdr:rowOff>
    </xdr:from>
    <xdr:to>
      <xdr:col>7</xdr:col>
      <xdr:colOff>405319</xdr:colOff>
      <xdr:row>20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EA673B-8591-442E-A85A-9C7808A16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97277</xdr:colOff>
      <xdr:row>21</xdr:row>
      <xdr:rowOff>16212</xdr:rowOff>
    </xdr:from>
    <xdr:to>
      <xdr:col>7</xdr:col>
      <xdr:colOff>413426</xdr:colOff>
      <xdr:row>35</xdr:row>
      <xdr:rowOff>149157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71E70B-9F94-4107-ACFD-7ED222294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526915</xdr:colOff>
      <xdr:row>21</xdr:row>
      <xdr:rowOff>16211</xdr:rowOff>
    </xdr:from>
    <xdr:to>
      <xdr:col>24</xdr:col>
      <xdr:colOff>235086</xdr:colOff>
      <xdr:row>35</xdr:row>
      <xdr:rowOff>149156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BD4660-2494-48E2-BA2C-C77314EB4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324254</xdr:colOff>
      <xdr:row>13</xdr:row>
      <xdr:rowOff>145915</xdr:rowOff>
    </xdr:from>
    <xdr:to>
      <xdr:col>16</xdr:col>
      <xdr:colOff>32424</xdr:colOff>
      <xdr:row>28</xdr:row>
      <xdr:rowOff>92413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09868E-625A-42B9-B452-6931B85AF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535022</xdr:colOff>
      <xdr:row>5</xdr:row>
      <xdr:rowOff>137809</xdr:rowOff>
    </xdr:from>
    <xdr:to>
      <xdr:col>24</xdr:col>
      <xdr:colOff>243193</xdr:colOff>
      <xdr:row>20</xdr:row>
      <xdr:rowOff>84307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569D89-C1DE-4ED4-9536-565DBB145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a prasath S" refreshedDate="45992.410724305555" createdVersion="8" refreshedVersion="8" minRefreshableVersion="3" recordCount="20" xr:uid="{A495E968-7220-4B6F-8129-9C3D844B9687}">
  <cacheSource type="worksheet">
    <worksheetSource name="tbl_Employees"/>
  </cacheSource>
  <cacheFields count="10">
    <cacheField name="EmployeeID" numFmtId="0">
      <sharedItems containsSemiMixedTypes="0" containsString="0" containsNumber="1" containsInteger="1" minValue="1001" maxValue="1020"/>
    </cacheField>
    <cacheField name="Employee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5" maxValue="41"/>
    </cacheField>
    <cacheField name="Department" numFmtId="0">
      <sharedItems count="4">
        <s v="Sales"/>
        <s v="HR"/>
        <s v="IT"/>
        <s v="Finance"/>
      </sharedItems>
    </cacheField>
    <cacheField name="JobRole" numFmtId="0">
      <sharedItems/>
    </cacheField>
    <cacheField name="Salary" numFmtId="164">
      <sharedItems containsSemiMixedTypes="0" containsString="0" containsNumber="1" containsInteger="1" minValue="28000" maxValue="72000"/>
    </cacheField>
    <cacheField name="Education" numFmtId="0">
      <sharedItems/>
    </cacheField>
    <cacheField name="HireDate" numFmtId="165">
      <sharedItems/>
    </cacheField>
    <cacheField name="ExperienceYears" numFmtId="0">
      <sharedItems containsSemiMixedTypes="0" containsString="0" containsNumber="1" containsInteger="1" minValue="4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a prasath S" refreshedDate="45992.419946180555" createdVersion="8" refreshedVersion="8" minRefreshableVersion="3" recordCount="6" xr:uid="{4BA430F7-BE5F-4BE0-A815-F14B972C2E35}">
  <cacheSource type="worksheet">
    <worksheetSource ref="A1:D7" sheet="Attrition"/>
  </cacheSource>
  <cacheFields count="4">
    <cacheField name="EmployeeID" numFmtId="0">
      <sharedItems containsString="0" containsBlank="1" containsNumber="1" containsInteger="1" minValue="1003" maxValue="1019"/>
    </cacheField>
    <cacheField name="Attrition" numFmtId="0">
      <sharedItems containsBlank="1" count="2">
        <s v="Yes"/>
        <m/>
      </sharedItems>
    </cacheField>
    <cacheField name="ExitDate" numFmtId="165">
      <sharedItems containsBlank="1"/>
    </cacheField>
    <cacheField name="Exit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a prasath S" refreshedDate="45992.421530902779" createdVersion="8" refreshedVersion="8" minRefreshableVersion="3" recordCount="20" xr:uid="{DE8A083B-E5F9-4FFC-9E3D-D0B2293281E7}">
  <cacheSource type="worksheet">
    <worksheetSource name="tbl_Performance"/>
  </cacheSource>
  <cacheFields count="3">
    <cacheField name="EmployeeID" numFmtId="0">
      <sharedItems containsSemiMixedTypes="0" containsString="0" containsNumber="1" containsInteger="1" minValue="1001" maxValue="1020"/>
    </cacheField>
    <cacheField name="PerformanceRating" numFmtId="164">
      <sharedItems containsSemiMixedTypes="0" containsString="0" containsNumber="1" containsInteger="1" minValue="3" maxValue="5"/>
    </cacheField>
    <cacheField name="PromotionEligi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Arun"/>
    <x v="0"/>
    <n v="28"/>
    <x v="0"/>
    <s v="Sales Executive"/>
    <n v="35000"/>
    <s v="Bachelors"/>
    <s v="2019-05-10"/>
    <n v="6"/>
  </r>
  <r>
    <n v="1002"/>
    <s v="Priya"/>
    <x v="1"/>
    <n v="32"/>
    <x v="1"/>
    <s v="HR Associate"/>
    <n v="28000"/>
    <s v="Masters"/>
    <s v="2020-01-15"/>
    <n v="5"/>
  </r>
  <r>
    <n v="1003"/>
    <s v="Karthik"/>
    <x v="0"/>
    <n v="29"/>
    <x v="2"/>
    <s v="Software Engineer"/>
    <n v="45000"/>
    <s v="Bachelors"/>
    <s v="2021-03-22"/>
    <n v="4"/>
  </r>
  <r>
    <n v="1004"/>
    <s v="Ravi"/>
    <x v="0"/>
    <n v="35"/>
    <x v="3"/>
    <s v="Accountant"/>
    <n v="40000"/>
    <s v="Bachelors"/>
    <s v="2018-11-05"/>
    <n v="7"/>
  </r>
  <r>
    <n v="1005"/>
    <s v="Divya"/>
    <x v="1"/>
    <n v="30"/>
    <x v="2"/>
    <s v="Data Analyst"/>
    <n v="42000"/>
    <s v="Masters"/>
    <s v="2021-07-12"/>
    <n v="4"/>
  </r>
  <r>
    <n v="1006"/>
    <s v="Suresh"/>
    <x v="0"/>
    <n v="41"/>
    <x v="0"/>
    <s v="Sales Manager"/>
    <n v="60000"/>
    <s v="MBA"/>
    <s v="2017-09-18"/>
    <n v="8"/>
  </r>
  <r>
    <n v="1007"/>
    <s v="Meena"/>
    <x v="1"/>
    <n v="26"/>
    <x v="1"/>
    <s v="HR Manager"/>
    <n v="52000"/>
    <s v="MBA"/>
    <s v="2018-06-25"/>
    <n v="7"/>
  </r>
  <r>
    <n v="1008"/>
    <s v="Vikram"/>
    <x v="0"/>
    <n v="37"/>
    <x v="2"/>
    <s v="Senior Developer"/>
    <n v="70000"/>
    <s v="Masters"/>
    <s v="2016-04-14"/>
    <n v="9"/>
  </r>
  <r>
    <n v="1009"/>
    <s v="Kiran"/>
    <x v="0"/>
    <n v="33"/>
    <x v="3"/>
    <s v="Financial Analyst"/>
    <n v="55000"/>
    <s v="Bachelors"/>
    <s v="2019-08-21"/>
    <n v="6"/>
  </r>
  <r>
    <n v="1010"/>
    <s v="Anu"/>
    <x v="1"/>
    <n v="25"/>
    <x v="0"/>
    <s v="Sales Executive"/>
    <n v="36000"/>
    <s v="Bachelors"/>
    <s v="2020-02-10"/>
    <n v="5"/>
  </r>
  <r>
    <n v="1011"/>
    <s v="Shiva"/>
    <x v="0"/>
    <n v="39"/>
    <x v="2"/>
    <s v="Software Engineer"/>
    <n v="48000"/>
    <s v="Masters"/>
    <s v="2021-04-05"/>
    <n v="4"/>
  </r>
  <r>
    <n v="1012"/>
    <s v="Lakshmi"/>
    <x v="1"/>
    <n v="29"/>
    <x v="1"/>
    <s v="HR Associate"/>
    <n v="30000"/>
    <s v="Bachelors"/>
    <s v="2019-10-30"/>
    <n v="6"/>
  </r>
  <r>
    <n v="1013"/>
    <s v="Rahul"/>
    <x v="0"/>
    <n v="31"/>
    <x v="3"/>
    <s v="Accountant"/>
    <n v="41000"/>
    <s v="Bachelors"/>
    <s v="2020-12-15"/>
    <n v="4"/>
  </r>
  <r>
    <n v="1014"/>
    <s v="Nisha"/>
    <x v="1"/>
    <n v="34"/>
    <x v="2"/>
    <s v="Data Analyst"/>
    <n v="45000"/>
    <s v="Masters"/>
    <s v="2021-06-10"/>
    <n v="4"/>
  </r>
  <r>
    <n v="1015"/>
    <s v="Kumar"/>
    <x v="0"/>
    <n v="28"/>
    <x v="0"/>
    <s v="Sales Executive"/>
    <n v="38000"/>
    <s v="Bachelors"/>
    <s v="2019-03-12"/>
    <n v="6"/>
  </r>
  <r>
    <n v="1016"/>
    <s v="Deepa"/>
    <x v="1"/>
    <n v="27"/>
    <x v="1"/>
    <s v="HR Associate"/>
    <n v="29000"/>
    <s v="Bachelors"/>
    <s v="2018-12-19"/>
    <n v="6"/>
  </r>
  <r>
    <n v="1017"/>
    <s v="Varun"/>
    <x v="0"/>
    <n v="36"/>
    <x v="3"/>
    <s v="Financial Analyst"/>
    <n v="60000"/>
    <s v="MBA"/>
    <s v="2017-07-01"/>
    <n v="8"/>
  </r>
  <r>
    <n v="1018"/>
    <s v="Harini"/>
    <x v="1"/>
    <n v="30"/>
    <x v="2"/>
    <s v="Senior Developer"/>
    <n v="72000"/>
    <s v="Masters"/>
    <s v="2016-11-20"/>
    <n v="9"/>
  </r>
  <r>
    <n v="1019"/>
    <s v="Gopal"/>
    <x v="0"/>
    <n v="38"/>
    <x v="1"/>
    <s v="HR Manager"/>
    <n v="53000"/>
    <s v="MBA"/>
    <s v="2018-04-11"/>
    <n v="7"/>
  </r>
  <r>
    <n v="1020"/>
    <s v="Sandhya"/>
    <x v="1"/>
    <n v="26"/>
    <x v="0"/>
    <s v="Sales Manager"/>
    <n v="62000"/>
    <s v="MBA"/>
    <s v="2017-08-09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03"/>
    <x v="0"/>
    <s v="2023-12-15"/>
    <s v="Better Salary"/>
  </r>
  <r>
    <n v="1007"/>
    <x v="0"/>
    <s v="2022-09-10"/>
    <s v="Career Growth"/>
  </r>
  <r>
    <n v="1012"/>
    <x v="0"/>
    <s v="2023-06-20"/>
    <s v="Relocation"/>
  </r>
  <r>
    <n v="1016"/>
    <x v="0"/>
    <s v="2023-01-05"/>
    <s v="Work Stress"/>
  </r>
  <r>
    <n v="1019"/>
    <x v="0"/>
    <s v="2022-11-30"/>
    <s v="Health Issues"/>
  </r>
  <r>
    <m/>
    <x v="1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n v="3"/>
    <s v="No"/>
  </r>
  <r>
    <n v="1002"/>
    <n v="4"/>
    <s v="Yes"/>
  </r>
  <r>
    <n v="1003"/>
    <n v="3"/>
    <s v="No"/>
  </r>
  <r>
    <n v="1004"/>
    <n v="5"/>
    <s v="Yes"/>
  </r>
  <r>
    <n v="1005"/>
    <n v="4"/>
    <s v="Yes"/>
  </r>
  <r>
    <n v="1006"/>
    <n v="5"/>
    <s v="Yes"/>
  </r>
  <r>
    <n v="1007"/>
    <n v="4"/>
    <s v="Yes"/>
  </r>
  <r>
    <n v="1008"/>
    <n v="5"/>
    <s v="Yes"/>
  </r>
  <r>
    <n v="1009"/>
    <n v="3"/>
    <s v="No"/>
  </r>
  <r>
    <n v="1010"/>
    <n v="3"/>
    <s v="No"/>
  </r>
  <r>
    <n v="1011"/>
    <n v="4"/>
    <s v="Yes"/>
  </r>
  <r>
    <n v="1012"/>
    <n v="3"/>
    <s v="No"/>
  </r>
  <r>
    <n v="1013"/>
    <n v="4"/>
    <s v="No"/>
  </r>
  <r>
    <n v="1014"/>
    <n v="4"/>
    <s v="Yes"/>
  </r>
  <r>
    <n v="1015"/>
    <n v="3"/>
    <s v="No"/>
  </r>
  <r>
    <n v="1016"/>
    <n v="3"/>
    <s v="No"/>
  </r>
  <r>
    <n v="1017"/>
    <n v="5"/>
    <s v="Yes"/>
  </r>
  <r>
    <n v="1018"/>
    <n v="5"/>
    <s v="Yes"/>
  </r>
  <r>
    <n v="1019"/>
    <n v="4"/>
    <s v="Yes"/>
  </r>
  <r>
    <n v="1020"/>
    <n v="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03CDB-58CA-4D09-B177-9B8C41AFE609}" name="Gender_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6" firstHeaderRow="1" firstDataRow="1" firstDataCol="1"/>
  <pivotFields count="10">
    <pivotField dataField="1"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numFmtId="16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mployeeID" fld="0" baseField="0" baseItem="0"/>
  </dataFields>
  <chartFormats count="3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0EA1A-80DE-4EE7-9D8E-E928FBF0B480}" name="Avg_salary_by_De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B17" firstHeaderRow="1" firstDataRow="1" firstDataCol="1"/>
  <pivotFields count="10"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6" subtotal="average" baseField="0" baseItem="0" numFmtId="16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059F8-3B57-4D3C-A149-E7B4DE62576A}" name="Emp_count_by_De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B620F-29B8-416E-9F45-37116B79022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3:I4" firstHeaderRow="0" firstDataRow="1" firstDataCol="0"/>
  <pivotFields count="3">
    <pivotField dataField="1" showAll="0"/>
    <pivotField dataField="1" numFmtId="164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erformanceRating" fld="1" baseField="0" baseItem="0" numFmtId="164"/>
    <dataField name="Count of EmployeeID" fld="0" subtotal="count" baseField="0" baseItem="0"/>
  </dataFields>
  <chartFormats count="3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6F16B-4AFA-408D-B27E-CC955A524A51}" name="Attrition_coun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0:F12" firstHeaderRow="1" firstDataRow="1" firstDataCol="1"/>
  <pivotFields count="4">
    <pivotField dataField="1" showAll="0"/>
    <pivotField axis="axisRow" showAll="0">
      <items count="3">
        <item x="0"/>
        <item h="1" x="1"/>
        <item t="default"/>
      </items>
    </pivotField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EmployeeID" fld="0" subtotal="count" baseField="0" baseItem="0"/>
  </dataFields>
  <chartFormats count="3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4FEB2-F923-43F6-8219-CEE3463E5AD1}" name="tbl_Employees" displayName="tbl_Employees" ref="A1:J21" totalsRowShown="0" headerRowDxfId="17" headerRowBorderDxfId="16" tableBorderDxfId="15">
  <autoFilter ref="A1:J21" xr:uid="{8D64FEB2-F923-43F6-8219-CEE3463E5A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23A1D33-EE29-406E-95F4-C7E649433B99}" name="EmployeeID"/>
    <tableColumn id="2" xr3:uid="{B6F550AB-98AB-44BE-8FB4-62B35B809DC1}" name="EmployeeName"/>
    <tableColumn id="3" xr3:uid="{92B0E9C5-5022-493A-A04C-36A0F8BFBD0A}" name="Gender"/>
    <tableColumn id="4" xr3:uid="{73717CB0-08B9-4FB6-AC5D-FA1F6E4C7731}" name="Age"/>
    <tableColumn id="5" xr3:uid="{A0745C47-2301-44E5-97C4-A35130BE6A09}" name="Department"/>
    <tableColumn id="6" xr3:uid="{7B4434A6-1BAC-4D3F-A805-3F9D42C8EE9B}" name="JobRole"/>
    <tableColumn id="7" xr3:uid="{05C3C470-F7E3-4D00-BCA8-C6D37DAD5108}" name="Salary" dataDxfId="14"/>
    <tableColumn id="8" xr3:uid="{2189198F-BB1C-4DB7-A0C6-E2B83C36ABA8}" name="Education"/>
    <tableColumn id="9" xr3:uid="{CDD2E70E-0449-4357-BB75-D8C6B6B85591}" name="HireDate" dataDxfId="13"/>
    <tableColumn id="10" xr3:uid="{A832D809-9A44-454E-A394-7C25305DDA54}" name="ExperienceYears" dataDxfId="12">
      <calculatedColumnFormula>DATEDIF(tbl_Employees[[#This Row],[HireDate]], TODAY(), "Y")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70827-059D-49CE-BAF4-8929C7DC7662}" name="tbl_Attendance" displayName="tbl_Attendance" ref="A1:C61" totalsRowShown="0" headerRowDxfId="11" headerRowBorderDxfId="10" tableBorderDxfId="9">
  <autoFilter ref="A1:C61" xr:uid="{7D470827-059D-49CE-BAF4-8929C7DC7662}">
    <filterColumn colId="0" hiddenButton="1"/>
    <filterColumn colId="1" hiddenButton="1"/>
    <filterColumn colId="2" hiddenButton="1"/>
  </autoFilter>
  <tableColumns count="3">
    <tableColumn id="1" xr3:uid="{7540CD4E-D024-4705-AC49-A44356103F98}" name="EmployeeID"/>
    <tableColumn id="2" xr3:uid="{DC251FCC-3DF1-403F-80AC-8F09A7D9A35B}" name="Month"/>
    <tableColumn id="3" xr3:uid="{00DE24E5-0184-4AC0-A467-FA7CE4375AFD}" name="DaysPresent" dataDxfId="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382FE-29DB-4B46-A6FE-D43A3FDB8A90}" name="tbl_Performance" displayName="tbl_Performance" ref="A1:C21" totalsRowShown="0" headerRowDxfId="7" headerRowBorderDxfId="6" tableBorderDxfId="5">
  <autoFilter ref="A1:C21" xr:uid="{1E2382FE-29DB-4B46-A6FE-D43A3FDB8A90}">
    <filterColumn colId="0" hiddenButton="1"/>
    <filterColumn colId="1" hiddenButton="1"/>
    <filterColumn colId="2" hiddenButton="1"/>
  </autoFilter>
  <tableColumns count="3">
    <tableColumn id="1" xr3:uid="{A967CB9C-0070-40A7-B604-3168B7CEFC63}" name="EmployeeID"/>
    <tableColumn id="2" xr3:uid="{9A39DC95-4FCB-447C-9726-05686AC73585}" name="PerformanceRating" dataDxfId="4"/>
    <tableColumn id="3" xr3:uid="{347C44E6-F9D9-4C02-9E14-0252C335F9E8}" name="PromotionEligibl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2DEC58-4AAF-4C0F-85A1-FC3A45AA419E}" name="tbl_Attrition" displayName="tbl_Attrition" ref="A1:D6" totalsRowShown="0" headerRowDxfId="3" headerRowBorderDxfId="2" tableBorderDxfId="1">
  <autoFilter ref="A1:D6" xr:uid="{FC2DEC58-4AAF-4C0F-85A1-FC3A45AA419E}">
    <filterColumn colId="0" hiddenButton="1"/>
    <filterColumn colId="1" hiddenButton="1"/>
    <filterColumn colId="2" hiddenButton="1"/>
    <filterColumn colId="3" hiddenButton="1"/>
  </autoFilter>
  <tableColumns count="4">
    <tableColumn id="1" xr3:uid="{9655FC02-57F5-4F19-A235-9EFF500F2AFD}" name="EmployeeID"/>
    <tableColumn id="2" xr3:uid="{ADDC21E5-605F-4053-8743-16576CB0D953}" name="Attrition"/>
    <tableColumn id="3" xr3:uid="{53FF0FCE-626F-48FC-B8E1-81BD4D21B77D}" name="ExitDate" dataDxfId="0"/>
    <tableColumn id="4" xr3:uid="{0FCC11AD-E225-4D7D-B596-6AC91F36ABAD}" name="ExitReas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28" sqref="E28"/>
    </sheetView>
  </sheetViews>
  <sheetFormatPr defaultRowHeight="14.4" x14ac:dyDescent="0.3"/>
  <cols>
    <col min="1" max="1" width="15.5546875" bestFit="1" customWidth="1"/>
    <col min="2" max="2" width="18.88671875" bestFit="1" customWidth="1"/>
    <col min="3" max="3" width="11.5546875" bestFit="1" customWidth="1"/>
    <col min="4" max="4" width="8.6640625" bestFit="1" customWidth="1"/>
    <col min="5" max="5" width="15.5546875" bestFit="1" customWidth="1"/>
    <col min="6" max="6" width="16" bestFit="1" customWidth="1"/>
    <col min="7" max="7" width="10.5546875" style="3" bestFit="1" customWidth="1"/>
    <col min="8" max="8" width="13.88671875" bestFit="1" customWidth="1"/>
    <col min="9" max="9" width="12.6640625" style="5" bestFit="1" customWidth="1"/>
    <col min="10" max="10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6" t="s">
        <v>89</v>
      </c>
    </row>
    <row r="2" spans="1:10" x14ac:dyDescent="0.3">
      <c r="A2">
        <v>1001</v>
      </c>
      <c r="B2" t="s">
        <v>9</v>
      </c>
      <c r="C2" t="s">
        <v>10</v>
      </c>
      <c r="D2">
        <v>28</v>
      </c>
      <c r="E2" t="s">
        <v>11</v>
      </c>
      <c r="F2" t="s">
        <v>12</v>
      </c>
      <c r="G2" s="3">
        <v>35000</v>
      </c>
      <c r="H2" t="s">
        <v>13</v>
      </c>
      <c r="I2" s="5" t="s">
        <v>14</v>
      </c>
      <c r="J2">
        <f ca="1">DATEDIF(tbl_Employees[[#This Row],[HireDate]], TODAY(), "Y")</f>
        <v>6</v>
      </c>
    </row>
    <row r="3" spans="1:10" x14ac:dyDescent="0.3">
      <c r="A3">
        <v>1002</v>
      </c>
      <c r="B3" t="s">
        <v>15</v>
      </c>
      <c r="C3" t="s">
        <v>16</v>
      </c>
      <c r="D3">
        <v>32</v>
      </c>
      <c r="E3" t="s">
        <v>17</v>
      </c>
      <c r="F3" t="s">
        <v>18</v>
      </c>
      <c r="G3" s="3">
        <v>28000</v>
      </c>
      <c r="H3" t="s">
        <v>19</v>
      </c>
      <c r="I3" s="5" t="s">
        <v>20</v>
      </c>
      <c r="J3">
        <f ca="1">DATEDIF(tbl_Employees[[#This Row],[HireDate]], TODAY(), "Y")</f>
        <v>5</v>
      </c>
    </row>
    <row r="4" spans="1:10" x14ac:dyDescent="0.3">
      <c r="A4">
        <v>1003</v>
      </c>
      <c r="B4" t="s">
        <v>21</v>
      </c>
      <c r="C4" t="s">
        <v>10</v>
      </c>
      <c r="D4">
        <v>29</v>
      </c>
      <c r="E4" t="s">
        <v>22</v>
      </c>
      <c r="F4" t="s">
        <v>23</v>
      </c>
      <c r="G4" s="3">
        <v>45000</v>
      </c>
      <c r="H4" t="s">
        <v>13</v>
      </c>
      <c r="I4" s="5" t="s">
        <v>24</v>
      </c>
      <c r="J4">
        <f ca="1">DATEDIF(tbl_Employees[[#This Row],[HireDate]], TODAY(), "Y")</f>
        <v>4</v>
      </c>
    </row>
    <row r="5" spans="1:10" x14ac:dyDescent="0.3">
      <c r="A5">
        <v>1004</v>
      </c>
      <c r="B5" t="s">
        <v>25</v>
      </c>
      <c r="C5" t="s">
        <v>10</v>
      </c>
      <c r="D5">
        <v>35</v>
      </c>
      <c r="E5" t="s">
        <v>26</v>
      </c>
      <c r="F5" t="s">
        <v>27</v>
      </c>
      <c r="G5" s="3">
        <v>40000</v>
      </c>
      <c r="H5" t="s">
        <v>13</v>
      </c>
      <c r="I5" s="5" t="s">
        <v>28</v>
      </c>
      <c r="J5">
        <f ca="1">DATEDIF(tbl_Employees[[#This Row],[HireDate]], TODAY(), "Y")</f>
        <v>7</v>
      </c>
    </row>
    <row r="6" spans="1:10" x14ac:dyDescent="0.3">
      <c r="A6">
        <v>1005</v>
      </c>
      <c r="B6" t="s">
        <v>29</v>
      </c>
      <c r="C6" t="s">
        <v>16</v>
      </c>
      <c r="D6">
        <v>30</v>
      </c>
      <c r="E6" t="s">
        <v>22</v>
      </c>
      <c r="F6" t="s">
        <v>30</v>
      </c>
      <c r="G6" s="3">
        <v>42000</v>
      </c>
      <c r="H6" t="s">
        <v>19</v>
      </c>
      <c r="I6" s="5" t="s">
        <v>31</v>
      </c>
      <c r="J6">
        <f ca="1">DATEDIF(tbl_Employees[[#This Row],[HireDate]], TODAY(), "Y")</f>
        <v>4</v>
      </c>
    </row>
    <row r="7" spans="1:10" x14ac:dyDescent="0.3">
      <c r="A7">
        <v>1006</v>
      </c>
      <c r="B7" t="s">
        <v>32</v>
      </c>
      <c r="C7" t="s">
        <v>10</v>
      </c>
      <c r="D7">
        <v>41</v>
      </c>
      <c r="E7" t="s">
        <v>11</v>
      </c>
      <c r="F7" t="s">
        <v>33</v>
      </c>
      <c r="G7" s="3">
        <v>60000</v>
      </c>
      <c r="H7" t="s">
        <v>34</v>
      </c>
      <c r="I7" s="5" t="s">
        <v>35</v>
      </c>
      <c r="J7">
        <f ca="1">DATEDIF(tbl_Employees[[#This Row],[HireDate]], TODAY(), "Y")</f>
        <v>8</v>
      </c>
    </row>
    <row r="8" spans="1:10" x14ac:dyDescent="0.3">
      <c r="A8">
        <v>1007</v>
      </c>
      <c r="B8" t="s">
        <v>36</v>
      </c>
      <c r="C8" t="s">
        <v>16</v>
      </c>
      <c r="D8">
        <v>26</v>
      </c>
      <c r="E8" t="s">
        <v>17</v>
      </c>
      <c r="F8" t="s">
        <v>37</v>
      </c>
      <c r="G8" s="3">
        <v>52000</v>
      </c>
      <c r="H8" t="s">
        <v>34</v>
      </c>
      <c r="I8" s="5" t="s">
        <v>38</v>
      </c>
      <c r="J8">
        <f ca="1">DATEDIF(tbl_Employees[[#This Row],[HireDate]], TODAY(), "Y")</f>
        <v>7</v>
      </c>
    </row>
    <row r="9" spans="1:10" x14ac:dyDescent="0.3">
      <c r="A9">
        <v>1008</v>
      </c>
      <c r="B9" t="s">
        <v>39</v>
      </c>
      <c r="C9" t="s">
        <v>10</v>
      </c>
      <c r="D9">
        <v>37</v>
      </c>
      <c r="E9" t="s">
        <v>22</v>
      </c>
      <c r="F9" t="s">
        <v>40</v>
      </c>
      <c r="G9" s="3">
        <v>70000</v>
      </c>
      <c r="H9" t="s">
        <v>19</v>
      </c>
      <c r="I9" s="5" t="s">
        <v>41</v>
      </c>
      <c r="J9">
        <f ca="1">DATEDIF(tbl_Employees[[#This Row],[HireDate]], TODAY(), "Y")</f>
        <v>9</v>
      </c>
    </row>
    <row r="10" spans="1:10" x14ac:dyDescent="0.3">
      <c r="A10">
        <v>1009</v>
      </c>
      <c r="B10" t="s">
        <v>42</v>
      </c>
      <c r="C10" t="s">
        <v>10</v>
      </c>
      <c r="D10">
        <v>33</v>
      </c>
      <c r="E10" t="s">
        <v>26</v>
      </c>
      <c r="F10" t="s">
        <v>43</v>
      </c>
      <c r="G10" s="3">
        <v>55000</v>
      </c>
      <c r="H10" t="s">
        <v>13</v>
      </c>
      <c r="I10" s="5" t="s">
        <v>44</v>
      </c>
      <c r="J10">
        <f ca="1">DATEDIF(tbl_Employees[[#This Row],[HireDate]], TODAY(), "Y")</f>
        <v>6</v>
      </c>
    </row>
    <row r="11" spans="1:10" x14ac:dyDescent="0.3">
      <c r="A11">
        <v>1010</v>
      </c>
      <c r="B11" t="s">
        <v>45</v>
      </c>
      <c r="C11" t="s">
        <v>16</v>
      </c>
      <c r="D11">
        <v>25</v>
      </c>
      <c r="E11" t="s">
        <v>11</v>
      </c>
      <c r="F11" t="s">
        <v>12</v>
      </c>
      <c r="G11" s="3">
        <v>36000</v>
      </c>
      <c r="H11" t="s">
        <v>13</v>
      </c>
      <c r="I11" s="5" t="s">
        <v>46</v>
      </c>
      <c r="J11">
        <f ca="1">DATEDIF(tbl_Employees[[#This Row],[HireDate]], TODAY(), "Y")</f>
        <v>5</v>
      </c>
    </row>
    <row r="12" spans="1:10" x14ac:dyDescent="0.3">
      <c r="A12">
        <v>1011</v>
      </c>
      <c r="B12" t="s">
        <v>47</v>
      </c>
      <c r="C12" t="s">
        <v>10</v>
      </c>
      <c r="D12">
        <v>39</v>
      </c>
      <c r="E12" t="s">
        <v>22</v>
      </c>
      <c r="F12" t="s">
        <v>23</v>
      </c>
      <c r="G12" s="3">
        <v>48000</v>
      </c>
      <c r="H12" t="s">
        <v>19</v>
      </c>
      <c r="I12" s="5" t="s">
        <v>48</v>
      </c>
      <c r="J12">
        <f ca="1">DATEDIF(tbl_Employees[[#This Row],[HireDate]], TODAY(), "Y")</f>
        <v>4</v>
      </c>
    </row>
    <row r="13" spans="1:10" x14ac:dyDescent="0.3">
      <c r="A13">
        <v>1012</v>
      </c>
      <c r="B13" t="s">
        <v>49</v>
      </c>
      <c r="C13" t="s">
        <v>16</v>
      </c>
      <c r="D13">
        <v>29</v>
      </c>
      <c r="E13" t="s">
        <v>17</v>
      </c>
      <c r="F13" t="s">
        <v>18</v>
      </c>
      <c r="G13" s="3">
        <v>30000</v>
      </c>
      <c r="H13" t="s">
        <v>13</v>
      </c>
      <c r="I13" s="5" t="s">
        <v>50</v>
      </c>
      <c r="J13">
        <f ca="1">DATEDIF(tbl_Employees[[#This Row],[HireDate]], TODAY(), "Y")</f>
        <v>6</v>
      </c>
    </row>
    <row r="14" spans="1:10" x14ac:dyDescent="0.3">
      <c r="A14">
        <v>1013</v>
      </c>
      <c r="B14" t="s">
        <v>51</v>
      </c>
      <c r="C14" t="s">
        <v>10</v>
      </c>
      <c r="D14">
        <v>31</v>
      </c>
      <c r="E14" t="s">
        <v>26</v>
      </c>
      <c r="F14" t="s">
        <v>27</v>
      </c>
      <c r="G14" s="3">
        <v>41000</v>
      </c>
      <c r="H14" t="s">
        <v>13</v>
      </c>
      <c r="I14" s="5" t="s">
        <v>52</v>
      </c>
      <c r="J14">
        <f ca="1">DATEDIF(tbl_Employees[[#This Row],[HireDate]], TODAY(), "Y")</f>
        <v>4</v>
      </c>
    </row>
    <row r="15" spans="1:10" x14ac:dyDescent="0.3">
      <c r="A15">
        <v>1014</v>
      </c>
      <c r="B15" t="s">
        <v>53</v>
      </c>
      <c r="C15" t="s">
        <v>16</v>
      </c>
      <c r="D15">
        <v>34</v>
      </c>
      <c r="E15" t="s">
        <v>22</v>
      </c>
      <c r="F15" t="s">
        <v>30</v>
      </c>
      <c r="G15" s="3">
        <v>45000</v>
      </c>
      <c r="H15" t="s">
        <v>19</v>
      </c>
      <c r="I15" s="5" t="s">
        <v>54</v>
      </c>
      <c r="J15">
        <f ca="1">DATEDIF(tbl_Employees[[#This Row],[HireDate]], TODAY(), "Y")</f>
        <v>4</v>
      </c>
    </row>
    <row r="16" spans="1:10" x14ac:dyDescent="0.3">
      <c r="A16">
        <v>1015</v>
      </c>
      <c r="B16" t="s">
        <v>55</v>
      </c>
      <c r="C16" t="s">
        <v>10</v>
      </c>
      <c r="D16">
        <v>28</v>
      </c>
      <c r="E16" t="s">
        <v>11</v>
      </c>
      <c r="F16" t="s">
        <v>12</v>
      </c>
      <c r="G16" s="3">
        <v>38000</v>
      </c>
      <c r="H16" t="s">
        <v>13</v>
      </c>
      <c r="I16" s="5" t="s">
        <v>56</v>
      </c>
      <c r="J16">
        <f ca="1">DATEDIF(tbl_Employees[[#This Row],[HireDate]], TODAY(), "Y")</f>
        <v>6</v>
      </c>
    </row>
    <row r="17" spans="1:10" x14ac:dyDescent="0.3">
      <c r="A17">
        <v>1016</v>
      </c>
      <c r="B17" t="s">
        <v>57</v>
      </c>
      <c r="C17" t="s">
        <v>16</v>
      </c>
      <c r="D17">
        <v>27</v>
      </c>
      <c r="E17" t="s">
        <v>17</v>
      </c>
      <c r="F17" t="s">
        <v>18</v>
      </c>
      <c r="G17" s="3">
        <v>29000</v>
      </c>
      <c r="H17" t="s">
        <v>13</v>
      </c>
      <c r="I17" s="5" t="s">
        <v>58</v>
      </c>
      <c r="J17">
        <f ca="1">DATEDIF(tbl_Employees[[#This Row],[HireDate]], TODAY(), "Y")</f>
        <v>6</v>
      </c>
    </row>
    <row r="18" spans="1:10" x14ac:dyDescent="0.3">
      <c r="A18">
        <v>1017</v>
      </c>
      <c r="B18" t="s">
        <v>59</v>
      </c>
      <c r="C18" t="s">
        <v>10</v>
      </c>
      <c r="D18">
        <v>36</v>
      </c>
      <c r="E18" t="s">
        <v>26</v>
      </c>
      <c r="F18" t="s">
        <v>43</v>
      </c>
      <c r="G18" s="3">
        <v>60000</v>
      </c>
      <c r="H18" t="s">
        <v>34</v>
      </c>
      <c r="I18" s="5" t="s">
        <v>60</v>
      </c>
      <c r="J18">
        <f ca="1">DATEDIF(tbl_Employees[[#This Row],[HireDate]], TODAY(), "Y")</f>
        <v>8</v>
      </c>
    </row>
    <row r="19" spans="1:10" x14ac:dyDescent="0.3">
      <c r="A19">
        <v>1018</v>
      </c>
      <c r="B19" t="s">
        <v>61</v>
      </c>
      <c r="C19" t="s">
        <v>16</v>
      </c>
      <c r="D19">
        <v>30</v>
      </c>
      <c r="E19" t="s">
        <v>22</v>
      </c>
      <c r="F19" t="s">
        <v>40</v>
      </c>
      <c r="G19" s="3">
        <v>72000</v>
      </c>
      <c r="H19" t="s">
        <v>19</v>
      </c>
      <c r="I19" s="5" t="s">
        <v>62</v>
      </c>
      <c r="J19">
        <f ca="1">DATEDIF(tbl_Employees[[#This Row],[HireDate]], TODAY(), "Y")</f>
        <v>9</v>
      </c>
    </row>
    <row r="20" spans="1:10" x14ac:dyDescent="0.3">
      <c r="A20">
        <v>1019</v>
      </c>
      <c r="B20" t="s">
        <v>63</v>
      </c>
      <c r="C20" t="s">
        <v>10</v>
      </c>
      <c r="D20">
        <v>38</v>
      </c>
      <c r="E20" t="s">
        <v>17</v>
      </c>
      <c r="F20" t="s">
        <v>37</v>
      </c>
      <c r="G20" s="3">
        <v>53000</v>
      </c>
      <c r="H20" t="s">
        <v>34</v>
      </c>
      <c r="I20" s="5" t="s">
        <v>64</v>
      </c>
      <c r="J20">
        <f ca="1">DATEDIF(tbl_Employees[[#This Row],[HireDate]], TODAY(), "Y")</f>
        <v>7</v>
      </c>
    </row>
    <row r="21" spans="1:10" x14ac:dyDescent="0.3">
      <c r="A21">
        <v>1020</v>
      </c>
      <c r="B21" t="s">
        <v>65</v>
      </c>
      <c r="C21" t="s">
        <v>16</v>
      </c>
      <c r="D21">
        <v>26</v>
      </c>
      <c r="E21" t="s">
        <v>11</v>
      </c>
      <c r="F21" t="s">
        <v>33</v>
      </c>
      <c r="G21" s="3">
        <v>62000</v>
      </c>
      <c r="H21" t="s">
        <v>34</v>
      </c>
      <c r="I21" s="5" t="s">
        <v>66</v>
      </c>
      <c r="J21">
        <f ca="1">DATEDIF(tbl_Employees[[#This Row],[HireDate]], TODAY(), "Y")</f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sqref="A1:C61"/>
    </sheetView>
  </sheetViews>
  <sheetFormatPr defaultRowHeight="14.4" x14ac:dyDescent="0.3"/>
  <cols>
    <col min="1" max="1" width="15.5546875" bestFit="1" customWidth="1"/>
    <col min="2" max="2" width="11.21875" bestFit="1" customWidth="1"/>
    <col min="3" max="3" width="15.77734375" style="3" bestFit="1" customWidth="1"/>
  </cols>
  <sheetData>
    <row r="1" spans="1:3" x14ac:dyDescent="0.3">
      <c r="A1" s="1" t="s">
        <v>0</v>
      </c>
      <c r="B1" s="1" t="s">
        <v>67</v>
      </c>
      <c r="C1" s="2" t="s">
        <v>68</v>
      </c>
    </row>
    <row r="2" spans="1:3" x14ac:dyDescent="0.3">
      <c r="A2">
        <v>1001</v>
      </c>
      <c r="B2" t="s">
        <v>69</v>
      </c>
      <c r="C2" s="3">
        <v>20</v>
      </c>
    </row>
    <row r="3" spans="1:3" x14ac:dyDescent="0.3">
      <c r="A3">
        <v>1001</v>
      </c>
      <c r="B3" t="s">
        <v>70</v>
      </c>
      <c r="C3" s="3">
        <v>18</v>
      </c>
    </row>
    <row r="4" spans="1:3" x14ac:dyDescent="0.3">
      <c r="A4">
        <v>1001</v>
      </c>
      <c r="B4" t="s">
        <v>71</v>
      </c>
      <c r="C4" s="3">
        <v>22</v>
      </c>
    </row>
    <row r="5" spans="1:3" x14ac:dyDescent="0.3">
      <c r="A5">
        <v>1002</v>
      </c>
      <c r="B5" t="s">
        <v>69</v>
      </c>
      <c r="C5" s="3">
        <v>22</v>
      </c>
    </row>
    <row r="6" spans="1:3" x14ac:dyDescent="0.3">
      <c r="A6">
        <v>1002</v>
      </c>
      <c r="B6" t="s">
        <v>70</v>
      </c>
      <c r="C6" s="3">
        <v>20</v>
      </c>
    </row>
    <row r="7" spans="1:3" x14ac:dyDescent="0.3">
      <c r="A7">
        <v>1002</v>
      </c>
      <c r="B7" t="s">
        <v>71</v>
      </c>
      <c r="C7" s="3">
        <v>21</v>
      </c>
    </row>
    <row r="8" spans="1:3" x14ac:dyDescent="0.3">
      <c r="A8">
        <v>1003</v>
      </c>
      <c r="B8" t="s">
        <v>69</v>
      </c>
      <c r="C8" s="3">
        <v>19</v>
      </c>
    </row>
    <row r="9" spans="1:3" x14ac:dyDescent="0.3">
      <c r="A9">
        <v>1003</v>
      </c>
      <c r="B9" t="s">
        <v>70</v>
      </c>
      <c r="C9" s="3">
        <v>18</v>
      </c>
    </row>
    <row r="10" spans="1:3" x14ac:dyDescent="0.3">
      <c r="A10">
        <v>1003</v>
      </c>
      <c r="B10" t="s">
        <v>71</v>
      </c>
      <c r="C10" s="3">
        <v>20</v>
      </c>
    </row>
    <row r="11" spans="1:3" x14ac:dyDescent="0.3">
      <c r="A11">
        <v>1004</v>
      </c>
      <c r="B11" t="s">
        <v>69</v>
      </c>
      <c r="C11" s="3">
        <v>23</v>
      </c>
    </row>
    <row r="12" spans="1:3" x14ac:dyDescent="0.3">
      <c r="A12">
        <v>1004</v>
      </c>
      <c r="B12" t="s">
        <v>70</v>
      </c>
      <c r="C12" s="3">
        <v>22</v>
      </c>
    </row>
    <row r="13" spans="1:3" x14ac:dyDescent="0.3">
      <c r="A13">
        <v>1004</v>
      </c>
      <c r="B13" t="s">
        <v>71</v>
      </c>
      <c r="C13" s="3">
        <v>21</v>
      </c>
    </row>
    <row r="14" spans="1:3" x14ac:dyDescent="0.3">
      <c r="A14">
        <v>1005</v>
      </c>
      <c r="B14" t="s">
        <v>69</v>
      </c>
      <c r="C14" s="3">
        <v>21</v>
      </c>
    </row>
    <row r="15" spans="1:3" x14ac:dyDescent="0.3">
      <c r="A15">
        <v>1005</v>
      </c>
      <c r="B15" t="s">
        <v>70</v>
      </c>
      <c r="C15" s="3">
        <v>20</v>
      </c>
    </row>
    <row r="16" spans="1:3" x14ac:dyDescent="0.3">
      <c r="A16">
        <v>1005</v>
      </c>
      <c r="B16" t="s">
        <v>71</v>
      </c>
      <c r="C16" s="3">
        <v>22</v>
      </c>
    </row>
    <row r="17" spans="1:3" x14ac:dyDescent="0.3">
      <c r="A17">
        <v>1006</v>
      </c>
      <c r="B17" t="s">
        <v>69</v>
      </c>
      <c r="C17" s="3">
        <v>18</v>
      </c>
    </row>
    <row r="18" spans="1:3" x14ac:dyDescent="0.3">
      <c r="A18">
        <v>1006</v>
      </c>
      <c r="B18" t="s">
        <v>70</v>
      </c>
      <c r="C18" s="3">
        <v>20</v>
      </c>
    </row>
    <row r="19" spans="1:3" x14ac:dyDescent="0.3">
      <c r="A19">
        <v>1006</v>
      </c>
      <c r="B19" t="s">
        <v>71</v>
      </c>
      <c r="C19" s="3">
        <v>19</v>
      </c>
    </row>
    <row r="20" spans="1:3" x14ac:dyDescent="0.3">
      <c r="A20">
        <v>1007</v>
      </c>
      <c r="B20" t="s">
        <v>69</v>
      </c>
      <c r="C20" s="3">
        <v>22</v>
      </c>
    </row>
    <row r="21" spans="1:3" x14ac:dyDescent="0.3">
      <c r="A21">
        <v>1007</v>
      </c>
      <c r="B21" t="s">
        <v>70</v>
      </c>
      <c r="C21" s="3">
        <v>21</v>
      </c>
    </row>
    <row r="22" spans="1:3" x14ac:dyDescent="0.3">
      <c r="A22">
        <v>1007</v>
      </c>
      <c r="B22" t="s">
        <v>71</v>
      </c>
      <c r="C22" s="3">
        <v>23</v>
      </c>
    </row>
    <row r="23" spans="1:3" x14ac:dyDescent="0.3">
      <c r="A23">
        <v>1008</v>
      </c>
      <c r="B23" t="s">
        <v>69</v>
      </c>
      <c r="C23" s="3">
        <v>20</v>
      </c>
    </row>
    <row r="24" spans="1:3" x14ac:dyDescent="0.3">
      <c r="A24">
        <v>1008</v>
      </c>
      <c r="B24" t="s">
        <v>70</v>
      </c>
      <c r="C24" s="3">
        <v>19</v>
      </c>
    </row>
    <row r="25" spans="1:3" x14ac:dyDescent="0.3">
      <c r="A25">
        <v>1008</v>
      </c>
      <c r="B25" t="s">
        <v>71</v>
      </c>
      <c r="C25" s="3">
        <v>21</v>
      </c>
    </row>
    <row r="26" spans="1:3" x14ac:dyDescent="0.3">
      <c r="A26">
        <v>1009</v>
      </c>
      <c r="B26" t="s">
        <v>69</v>
      </c>
      <c r="C26" s="3">
        <v>22</v>
      </c>
    </row>
    <row r="27" spans="1:3" x14ac:dyDescent="0.3">
      <c r="A27">
        <v>1009</v>
      </c>
      <c r="B27" t="s">
        <v>70</v>
      </c>
      <c r="C27" s="3">
        <v>20</v>
      </c>
    </row>
    <row r="28" spans="1:3" x14ac:dyDescent="0.3">
      <c r="A28">
        <v>1009</v>
      </c>
      <c r="B28" t="s">
        <v>71</v>
      </c>
      <c r="C28" s="3">
        <v>23</v>
      </c>
    </row>
    <row r="29" spans="1:3" x14ac:dyDescent="0.3">
      <c r="A29">
        <v>1010</v>
      </c>
      <c r="B29" t="s">
        <v>69</v>
      </c>
      <c r="C29" s="3">
        <v>21</v>
      </c>
    </row>
    <row r="30" spans="1:3" x14ac:dyDescent="0.3">
      <c r="A30">
        <v>1010</v>
      </c>
      <c r="B30" t="s">
        <v>70</v>
      </c>
      <c r="C30" s="3">
        <v>19</v>
      </c>
    </row>
    <row r="31" spans="1:3" x14ac:dyDescent="0.3">
      <c r="A31">
        <v>1010</v>
      </c>
      <c r="B31" t="s">
        <v>71</v>
      </c>
      <c r="C31" s="3">
        <v>22</v>
      </c>
    </row>
    <row r="32" spans="1:3" x14ac:dyDescent="0.3">
      <c r="A32">
        <v>1011</v>
      </c>
      <c r="B32" t="s">
        <v>69</v>
      </c>
      <c r="C32" s="3">
        <v>20</v>
      </c>
    </row>
    <row r="33" spans="1:3" x14ac:dyDescent="0.3">
      <c r="A33">
        <v>1011</v>
      </c>
      <c r="B33" t="s">
        <v>70</v>
      </c>
      <c r="C33" s="3">
        <v>18</v>
      </c>
    </row>
    <row r="34" spans="1:3" x14ac:dyDescent="0.3">
      <c r="A34">
        <v>1011</v>
      </c>
      <c r="B34" t="s">
        <v>71</v>
      </c>
      <c r="C34" s="3">
        <v>21</v>
      </c>
    </row>
    <row r="35" spans="1:3" x14ac:dyDescent="0.3">
      <c r="A35">
        <v>1012</v>
      </c>
      <c r="B35" t="s">
        <v>69</v>
      </c>
      <c r="C35" s="3">
        <v>23</v>
      </c>
    </row>
    <row r="36" spans="1:3" x14ac:dyDescent="0.3">
      <c r="A36">
        <v>1012</v>
      </c>
      <c r="B36" t="s">
        <v>70</v>
      </c>
      <c r="C36" s="3">
        <v>22</v>
      </c>
    </row>
    <row r="37" spans="1:3" x14ac:dyDescent="0.3">
      <c r="A37">
        <v>1012</v>
      </c>
      <c r="B37" t="s">
        <v>71</v>
      </c>
      <c r="C37" s="3">
        <v>21</v>
      </c>
    </row>
    <row r="38" spans="1:3" x14ac:dyDescent="0.3">
      <c r="A38">
        <v>1013</v>
      </c>
      <c r="B38" t="s">
        <v>69</v>
      </c>
      <c r="C38" s="3">
        <v>19</v>
      </c>
    </row>
    <row r="39" spans="1:3" x14ac:dyDescent="0.3">
      <c r="A39">
        <v>1013</v>
      </c>
      <c r="B39" t="s">
        <v>70</v>
      </c>
      <c r="C39" s="3">
        <v>20</v>
      </c>
    </row>
    <row r="40" spans="1:3" x14ac:dyDescent="0.3">
      <c r="A40">
        <v>1013</v>
      </c>
      <c r="B40" t="s">
        <v>71</v>
      </c>
      <c r="C40" s="3">
        <v>18</v>
      </c>
    </row>
    <row r="41" spans="1:3" x14ac:dyDescent="0.3">
      <c r="A41">
        <v>1014</v>
      </c>
      <c r="B41" t="s">
        <v>69</v>
      </c>
      <c r="C41" s="3">
        <v>22</v>
      </c>
    </row>
    <row r="42" spans="1:3" x14ac:dyDescent="0.3">
      <c r="A42">
        <v>1014</v>
      </c>
      <c r="B42" t="s">
        <v>70</v>
      </c>
      <c r="C42" s="3">
        <v>20</v>
      </c>
    </row>
    <row r="43" spans="1:3" x14ac:dyDescent="0.3">
      <c r="A43">
        <v>1014</v>
      </c>
      <c r="B43" t="s">
        <v>71</v>
      </c>
      <c r="C43" s="3">
        <v>21</v>
      </c>
    </row>
    <row r="44" spans="1:3" x14ac:dyDescent="0.3">
      <c r="A44">
        <v>1015</v>
      </c>
      <c r="B44" t="s">
        <v>69</v>
      </c>
      <c r="C44" s="3">
        <v>21</v>
      </c>
    </row>
    <row r="45" spans="1:3" x14ac:dyDescent="0.3">
      <c r="A45">
        <v>1015</v>
      </c>
      <c r="B45" t="s">
        <v>70</v>
      </c>
      <c r="C45" s="3">
        <v>19</v>
      </c>
    </row>
    <row r="46" spans="1:3" x14ac:dyDescent="0.3">
      <c r="A46">
        <v>1015</v>
      </c>
      <c r="B46" t="s">
        <v>71</v>
      </c>
      <c r="C46" s="3">
        <v>22</v>
      </c>
    </row>
    <row r="47" spans="1:3" x14ac:dyDescent="0.3">
      <c r="A47">
        <v>1016</v>
      </c>
      <c r="B47" t="s">
        <v>69</v>
      </c>
      <c r="C47" s="3">
        <v>23</v>
      </c>
    </row>
    <row r="48" spans="1:3" x14ac:dyDescent="0.3">
      <c r="A48">
        <v>1016</v>
      </c>
      <c r="B48" t="s">
        <v>70</v>
      </c>
      <c r="C48" s="3">
        <v>22</v>
      </c>
    </row>
    <row r="49" spans="1:3" x14ac:dyDescent="0.3">
      <c r="A49">
        <v>1016</v>
      </c>
      <c r="B49" t="s">
        <v>71</v>
      </c>
      <c r="C49" s="3">
        <v>21</v>
      </c>
    </row>
    <row r="50" spans="1:3" x14ac:dyDescent="0.3">
      <c r="A50">
        <v>1017</v>
      </c>
      <c r="B50" t="s">
        <v>69</v>
      </c>
      <c r="C50" s="3">
        <v>18</v>
      </c>
    </row>
    <row r="51" spans="1:3" x14ac:dyDescent="0.3">
      <c r="A51">
        <v>1017</v>
      </c>
      <c r="B51" t="s">
        <v>70</v>
      </c>
      <c r="C51" s="3">
        <v>17</v>
      </c>
    </row>
    <row r="52" spans="1:3" x14ac:dyDescent="0.3">
      <c r="A52">
        <v>1017</v>
      </c>
      <c r="B52" t="s">
        <v>71</v>
      </c>
      <c r="C52" s="3">
        <v>20</v>
      </c>
    </row>
    <row r="53" spans="1:3" x14ac:dyDescent="0.3">
      <c r="A53">
        <v>1018</v>
      </c>
      <c r="B53" t="s">
        <v>69</v>
      </c>
      <c r="C53" s="3">
        <v>20</v>
      </c>
    </row>
    <row r="54" spans="1:3" x14ac:dyDescent="0.3">
      <c r="A54">
        <v>1018</v>
      </c>
      <c r="B54" t="s">
        <v>70</v>
      </c>
      <c r="C54" s="3">
        <v>21</v>
      </c>
    </row>
    <row r="55" spans="1:3" x14ac:dyDescent="0.3">
      <c r="A55">
        <v>1018</v>
      </c>
      <c r="B55" t="s">
        <v>71</v>
      </c>
      <c r="C55" s="3">
        <v>22</v>
      </c>
    </row>
    <row r="56" spans="1:3" x14ac:dyDescent="0.3">
      <c r="A56">
        <v>1019</v>
      </c>
      <c r="B56" t="s">
        <v>69</v>
      </c>
      <c r="C56" s="3">
        <v>19</v>
      </c>
    </row>
    <row r="57" spans="1:3" x14ac:dyDescent="0.3">
      <c r="A57">
        <v>1019</v>
      </c>
      <c r="B57" t="s">
        <v>70</v>
      </c>
      <c r="C57" s="3">
        <v>18</v>
      </c>
    </row>
    <row r="58" spans="1:3" x14ac:dyDescent="0.3">
      <c r="A58">
        <v>1019</v>
      </c>
      <c r="B58" t="s">
        <v>71</v>
      </c>
      <c r="C58" s="3">
        <v>21</v>
      </c>
    </row>
    <row r="59" spans="1:3" x14ac:dyDescent="0.3">
      <c r="A59">
        <v>1020</v>
      </c>
      <c r="B59" t="s">
        <v>69</v>
      </c>
      <c r="C59" s="3">
        <v>20</v>
      </c>
    </row>
    <row r="60" spans="1:3" x14ac:dyDescent="0.3">
      <c r="A60">
        <v>1020</v>
      </c>
      <c r="B60" t="s">
        <v>70</v>
      </c>
      <c r="C60" s="3">
        <v>22</v>
      </c>
    </row>
    <row r="61" spans="1:3" x14ac:dyDescent="0.3">
      <c r="A61">
        <v>1020</v>
      </c>
      <c r="B61" t="s">
        <v>71</v>
      </c>
      <c r="C61" s="3">
        <v>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D24" sqref="D24"/>
    </sheetView>
  </sheetViews>
  <sheetFormatPr defaultRowHeight="14.4" x14ac:dyDescent="0.3"/>
  <cols>
    <col min="1" max="1" width="15.5546875" bestFit="1" customWidth="1"/>
    <col min="2" max="2" width="21.88671875" style="3" bestFit="1" customWidth="1"/>
    <col min="3" max="3" width="20.44140625" bestFit="1" customWidth="1"/>
  </cols>
  <sheetData>
    <row r="1" spans="1:3" x14ac:dyDescent="0.3">
      <c r="A1" s="1" t="s">
        <v>0</v>
      </c>
      <c r="B1" s="2" t="s">
        <v>72</v>
      </c>
      <c r="C1" s="1" t="s">
        <v>73</v>
      </c>
    </row>
    <row r="2" spans="1:3" x14ac:dyDescent="0.3">
      <c r="A2">
        <v>1001</v>
      </c>
      <c r="B2" s="3">
        <v>3</v>
      </c>
      <c r="C2" t="s">
        <v>74</v>
      </c>
    </row>
    <row r="3" spans="1:3" x14ac:dyDescent="0.3">
      <c r="A3">
        <v>1002</v>
      </c>
      <c r="B3" s="3">
        <v>4</v>
      </c>
      <c r="C3" t="s">
        <v>75</v>
      </c>
    </row>
    <row r="4" spans="1:3" x14ac:dyDescent="0.3">
      <c r="A4">
        <v>1003</v>
      </c>
      <c r="B4" s="3">
        <v>3</v>
      </c>
      <c r="C4" t="s">
        <v>74</v>
      </c>
    </row>
    <row r="5" spans="1:3" x14ac:dyDescent="0.3">
      <c r="A5">
        <v>1004</v>
      </c>
      <c r="B5" s="3">
        <v>5</v>
      </c>
      <c r="C5" t="s">
        <v>75</v>
      </c>
    </row>
    <row r="6" spans="1:3" x14ac:dyDescent="0.3">
      <c r="A6">
        <v>1005</v>
      </c>
      <c r="B6" s="3">
        <v>4</v>
      </c>
      <c r="C6" t="s">
        <v>75</v>
      </c>
    </row>
    <row r="7" spans="1:3" x14ac:dyDescent="0.3">
      <c r="A7">
        <v>1006</v>
      </c>
      <c r="B7" s="3">
        <v>5</v>
      </c>
      <c r="C7" t="s">
        <v>75</v>
      </c>
    </row>
    <row r="8" spans="1:3" x14ac:dyDescent="0.3">
      <c r="A8">
        <v>1007</v>
      </c>
      <c r="B8" s="3">
        <v>4</v>
      </c>
      <c r="C8" t="s">
        <v>75</v>
      </c>
    </row>
    <row r="9" spans="1:3" x14ac:dyDescent="0.3">
      <c r="A9">
        <v>1008</v>
      </c>
      <c r="B9" s="3">
        <v>5</v>
      </c>
      <c r="C9" t="s">
        <v>75</v>
      </c>
    </row>
    <row r="10" spans="1:3" x14ac:dyDescent="0.3">
      <c r="A10">
        <v>1009</v>
      </c>
      <c r="B10" s="3">
        <v>3</v>
      </c>
      <c r="C10" t="s">
        <v>74</v>
      </c>
    </row>
    <row r="11" spans="1:3" x14ac:dyDescent="0.3">
      <c r="A11">
        <v>1010</v>
      </c>
      <c r="B11" s="3">
        <v>3</v>
      </c>
      <c r="C11" t="s">
        <v>74</v>
      </c>
    </row>
    <row r="12" spans="1:3" x14ac:dyDescent="0.3">
      <c r="A12">
        <v>1011</v>
      </c>
      <c r="B12" s="3">
        <v>4</v>
      </c>
      <c r="C12" t="s">
        <v>75</v>
      </c>
    </row>
    <row r="13" spans="1:3" x14ac:dyDescent="0.3">
      <c r="A13">
        <v>1012</v>
      </c>
      <c r="B13" s="3">
        <v>3</v>
      </c>
      <c r="C13" t="s">
        <v>74</v>
      </c>
    </row>
    <row r="14" spans="1:3" x14ac:dyDescent="0.3">
      <c r="A14">
        <v>1013</v>
      </c>
      <c r="B14" s="3">
        <v>4</v>
      </c>
      <c r="C14" t="s">
        <v>74</v>
      </c>
    </row>
    <row r="15" spans="1:3" x14ac:dyDescent="0.3">
      <c r="A15">
        <v>1014</v>
      </c>
      <c r="B15" s="3">
        <v>4</v>
      </c>
      <c r="C15" t="s">
        <v>75</v>
      </c>
    </row>
    <row r="16" spans="1:3" x14ac:dyDescent="0.3">
      <c r="A16">
        <v>1015</v>
      </c>
      <c r="B16" s="3">
        <v>3</v>
      </c>
      <c r="C16" t="s">
        <v>74</v>
      </c>
    </row>
    <row r="17" spans="1:3" x14ac:dyDescent="0.3">
      <c r="A17">
        <v>1016</v>
      </c>
      <c r="B17" s="3">
        <v>3</v>
      </c>
      <c r="C17" t="s">
        <v>74</v>
      </c>
    </row>
    <row r="18" spans="1:3" x14ac:dyDescent="0.3">
      <c r="A18">
        <v>1017</v>
      </c>
      <c r="B18" s="3">
        <v>5</v>
      </c>
      <c r="C18" t="s">
        <v>75</v>
      </c>
    </row>
    <row r="19" spans="1:3" x14ac:dyDescent="0.3">
      <c r="A19">
        <v>1018</v>
      </c>
      <c r="B19" s="3">
        <v>5</v>
      </c>
      <c r="C19" t="s">
        <v>75</v>
      </c>
    </row>
    <row r="20" spans="1:3" x14ac:dyDescent="0.3">
      <c r="A20">
        <v>1019</v>
      </c>
      <c r="B20" s="3">
        <v>4</v>
      </c>
      <c r="C20" t="s">
        <v>75</v>
      </c>
    </row>
    <row r="21" spans="1:3" x14ac:dyDescent="0.3">
      <c r="A21">
        <v>1020</v>
      </c>
      <c r="B21" s="3">
        <v>5</v>
      </c>
      <c r="C21" t="s">
        <v>75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G12" sqref="G12"/>
    </sheetView>
  </sheetViews>
  <sheetFormatPr defaultRowHeight="14.4" x14ac:dyDescent="0.3"/>
  <cols>
    <col min="1" max="1" width="15.5546875" bestFit="1" customWidth="1"/>
    <col min="2" max="2" width="12.44140625" bestFit="1" customWidth="1"/>
    <col min="3" max="3" width="12.33203125" style="5" bestFit="1" customWidth="1"/>
    <col min="4" max="4" width="14.5546875" bestFit="1" customWidth="1"/>
  </cols>
  <sheetData>
    <row r="1" spans="1:4" x14ac:dyDescent="0.3">
      <c r="A1" s="1" t="s">
        <v>0</v>
      </c>
      <c r="B1" s="1" t="s">
        <v>76</v>
      </c>
      <c r="C1" s="4" t="s">
        <v>77</v>
      </c>
      <c r="D1" s="1" t="s">
        <v>78</v>
      </c>
    </row>
    <row r="2" spans="1:4" x14ac:dyDescent="0.3">
      <c r="A2">
        <v>1003</v>
      </c>
      <c r="B2" t="s">
        <v>75</v>
      </c>
      <c r="C2" s="5" t="s">
        <v>79</v>
      </c>
      <c r="D2" t="s">
        <v>80</v>
      </c>
    </row>
    <row r="3" spans="1:4" x14ac:dyDescent="0.3">
      <c r="A3">
        <v>1007</v>
      </c>
      <c r="B3" t="s">
        <v>75</v>
      </c>
      <c r="C3" s="5" t="s">
        <v>81</v>
      </c>
      <c r="D3" t="s">
        <v>82</v>
      </c>
    </row>
    <row r="4" spans="1:4" x14ac:dyDescent="0.3">
      <c r="A4">
        <v>1012</v>
      </c>
      <c r="B4" t="s">
        <v>75</v>
      </c>
      <c r="C4" s="5" t="s">
        <v>83</v>
      </c>
      <c r="D4" t="s">
        <v>84</v>
      </c>
    </row>
    <row r="5" spans="1:4" x14ac:dyDescent="0.3">
      <c r="A5">
        <v>1016</v>
      </c>
      <c r="B5" t="s">
        <v>75</v>
      </c>
      <c r="C5" s="5" t="s">
        <v>85</v>
      </c>
      <c r="D5" t="s">
        <v>86</v>
      </c>
    </row>
    <row r="6" spans="1:4" x14ac:dyDescent="0.3">
      <c r="A6">
        <v>1019</v>
      </c>
      <c r="B6" t="s">
        <v>75</v>
      </c>
      <c r="C6" s="5" t="s">
        <v>87</v>
      </c>
      <c r="D6" t="s">
        <v>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E1AA-9699-45D7-B27A-BE06B2DB587B}">
  <dimension ref="A3:I17"/>
  <sheetViews>
    <sheetView showGridLines="0" workbookViewId="0">
      <selection activeCell="J15" sqref="J15"/>
    </sheetView>
  </sheetViews>
  <sheetFormatPr defaultRowHeight="14.4" x14ac:dyDescent="0.3"/>
  <cols>
    <col min="1" max="1" width="12.5546875" bestFit="1" customWidth="1"/>
    <col min="2" max="2" width="19.109375" bestFit="1" customWidth="1"/>
    <col min="5" max="5" width="12.5546875" bestFit="1" customWidth="1"/>
    <col min="6" max="6" width="17.77734375" bestFit="1" customWidth="1"/>
    <col min="8" max="8" width="29.77734375" customWidth="1"/>
    <col min="9" max="9" width="22.109375" customWidth="1"/>
  </cols>
  <sheetData>
    <row r="3" spans="1:9" x14ac:dyDescent="0.3">
      <c r="A3" s="7" t="s">
        <v>90</v>
      </c>
      <c r="B3" t="s">
        <v>94</v>
      </c>
      <c r="E3" s="7" t="s">
        <v>90</v>
      </c>
      <c r="F3" t="s">
        <v>92</v>
      </c>
      <c r="H3" t="s">
        <v>95</v>
      </c>
      <c r="I3" t="s">
        <v>94</v>
      </c>
    </row>
    <row r="4" spans="1:9" x14ac:dyDescent="0.3">
      <c r="A4" s="8" t="s">
        <v>26</v>
      </c>
      <c r="B4">
        <v>4</v>
      </c>
      <c r="E4" s="8" t="s">
        <v>10</v>
      </c>
      <c r="F4">
        <v>11106</v>
      </c>
      <c r="H4" s="3">
        <v>79</v>
      </c>
      <c r="I4">
        <v>20</v>
      </c>
    </row>
    <row r="5" spans="1:9" x14ac:dyDescent="0.3">
      <c r="A5" s="8" t="s">
        <v>17</v>
      </c>
      <c r="B5">
        <v>5</v>
      </c>
      <c r="E5" s="8" t="s">
        <v>16</v>
      </c>
      <c r="F5">
        <v>9104</v>
      </c>
    </row>
    <row r="6" spans="1:9" x14ac:dyDescent="0.3">
      <c r="A6" s="8" t="s">
        <v>22</v>
      </c>
      <c r="B6">
        <v>6</v>
      </c>
      <c r="E6" s="8" t="s">
        <v>91</v>
      </c>
      <c r="F6">
        <v>20210</v>
      </c>
    </row>
    <row r="7" spans="1:9" x14ac:dyDescent="0.3">
      <c r="A7" s="8" t="s">
        <v>11</v>
      </c>
      <c r="B7">
        <v>5</v>
      </c>
    </row>
    <row r="8" spans="1:9" x14ac:dyDescent="0.3">
      <c r="A8" s="8" t="s">
        <v>91</v>
      </c>
      <c r="B8">
        <v>20</v>
      </c>
    </row>
    <row r="10" spans="1:9" x14ac:dyDescent="0.3">
      <c r="E10" s="7" t="s">
        <v>90</v>
      </c>
      <c r="F10" t="s">
        <v>94</v>
      </c>
    </row>
    <row r="11" spans="1:9" x14ac:dyDescent="0.3">
      <c r="E11" s="8" t="s">
        <v>75</v>
      </c>
      <c r="F11">
        <v>5</v>
      </c>
    </row>
    <row r="12" spans="1:9" x14ac:dyDescent="0.3">
      <c r="A12" s="7" t="s">
        <v>90</v>
      </c>
      <c r="B12" t="s">
        <v>93</v>
      </c>
      <c r="E12" s="8" t="s">
        <v>91</v>
      </c>
      <c r="F12">
        <v>5</v>
      </c>
    </row>
    <row r="13" spans="1:9" x14ac:dyDescent="0.3">
      <c r="A13" s="8" t="s">
        <v>26</v>
      </c>
      <c r="B13" s="3">
        <v>49000</v>
      </c>
    </row>
    <row r="14" spans="1:9" x14ac:dyDescent="0.3">
      <c r="A14" s="8" t="s">
        <v>17</v>
      </c>
      <c r="B14" s="3">
        <v>38400</v>
      </c>
    </row>
    <row r="15" spans="1:9" x14ac:dyDescent="0.3">
      <c r="A15" s="8" t="s">
        <v>22</v>
      </c>
      <c r="B15" s="3">
        <v>53666.666666666664</v>
      </c>
    </row>
    <row r="16" spans="1:9" x14ac:dyDescent="0.3">
      <c r="A16" s="8" t="s">
        <v>11</v>
      </c>
      <c r="B16" s="3">
        <v>46200</v>
      </c>
    </row>
    <row r="17" spans="1:2" x14ac:dyDescent="0.3">
      <c r="A17" s="8" t="s">
        <v>91</v>
      </c>
      <c r="B17" s="3">
        <v>47050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72A6-C2CB-46A8-877C-E261042C3259}">
  <dimension ref="A1:Z70"/>
  <sheetViews>
    <sheetView zoomScale="94" workbookViewId="0">
      <selection activeCell="O34" sqref="O34"/>
    </sheetView>
  </sheetViews>
  <sheetFormatPr defaultRowHeight="14.4" x14ac:dyDescent="0.3"/>
  <sheetData>
    <row r="1" spans="1:26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Attendance</vt:lpstr>
      <vt:lpstr>Performance</vt:lpstr>
      <vt:lpstr>Attrition</vt:lpstr>
      <vt:lpstr>All_PivotTable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 prasath S</cp:lastModifiedBy>
  <dcterms:created xsi:type="dcterms:W3CDTF">2025-12-01T03:44:18Z</dcterms:created>
  <dcterms:modified xsi:type="dcterms:W3CDTF">2025-12-02T11:32:24Z</dcterms:modified>
</cp:coreProperties>
</file>