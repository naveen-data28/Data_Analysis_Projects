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564e4655e923a28f/Desktop/Data analysis/Excel/Dataset Files/Excel Projects/Sales_project/"/>
    </mc:Choice>
  </mc:AlternateContent>
  <xr:revisionPtr revIDLastSave="1229" documentId="11_FFC65FC0D769ACED28170B028343EF1F7F7E6D4F" xr6:coauthVersionLast="47" xr6:coauthVersionMax="47" xr10:uidLastSave="{92BE6027-1186-48B8-BC8E-18FD81AB6839}"/>
  <bookViews>
    <workbookView xWindow="-108" yWindow="-108" windowWidth="23256" windowHeight="13896" activeTab="3" xr2:uid="{00000000-000D-0000-FFFF-FFFF00000000}"/>
  </bookViews>
  <sheets>
    <sheet name="OriginalData" sheetId="1" r:id="rId1"/>
    <sheet name="SourceData" sheetId="3" r:id="rId2"/>
    <sheet name="PivotTable" sheetId="8" r:id="rId3"/>
    <sheet name="Dashboard" sheetId="10" r:id="rId4"/>
  </sheets>
  <definedNames>
    <definedName name="Slicer_Region">#N/A</definedName>
    <definedName name="Slicer_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2" i="3"/>
  <c r="O3"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2" i="3"/>
  <c r="N3" i="3" l="1"/>
  <c r="M3" i="3"/>
</calcChain>
</file>

<file path=xl/sharedStrings.xml><?xml version="1.0" encoding="utf-8"?>
<sst xmlns="http://schemas.openxmlformats.org/spreadsheetml/2006/main" count="1659" uniqueCount="271">
  <si>
    <t>Order ID</t>
  </si>
  <si>
    <t>Order Date</t>
  </si>
  <si>
    <t>Region</t>
  </si>
  <si>
    <t>Product</t>
  </si>
  <si>
    <t>Quantity</t>
  </si>
  <si>
    <t>Unit Price</t>
  </si>
  <si>
    <t>Salesperson</t>
  </si>
  <si>
    <t>Status</t>
  </si>
  <si>
    <t>O1009</t>
  </si>
  <si>
    <t>O1094</t>
  </si>
  <si>
    <t>O1089</t>
  </si>
  <si>
    <t>O1090</t>
  </si>
  <si>
    <t>O1083</t>
  </si>
  <si>
    <t>O1048</t>
  </si>
  <si>
    <t>O1075</t>
  </si>
  <si>
    <t>O1060</t>
  </si>
  <si>
    <t>O1078</t>
  </si>
  <si>
    <t>O1033</t>
  </si>
  <si>
    <t>O1086</t>
  </si>
  <si>
    <t>O1000</t>
  </si>
  <si>
    <t>O1037</t>
  </si>
  <si>
    <t>O1082</t>
  </si>
  <si>
    <t>O1073</t>
  </si>
  <si>
    <t>O1005</t>
  </si>
  <si>
    <t>O1056</t>
  </si>
  <si>
    <t>O1061</t>
  </si>
  <si>
    <t>O1019</t>
  </si>
  <si>
    <t>O1035</t>
  </si>
  <si>
    <t>O1084</t>
  </si>
  <si>
    <t>O1096</t>
  </si>
  <si>
    <t>O1016</t>
  </si>
  <si>
    <t>O1001</t>
  </si>
  <si>
    <t>O1012</t>
  </si>
  <si>
    <t>O1046</t>
  </si>
  <si>
    <t>O1002</t>
  </si>
  <si>
    <t>O1038</t>
  </si>
  <si>
    <t>O1079</t>
  </si>
  <si>
    <t>O1039</t>
  </si>
  <si>
    <t>O1049</t>
  </si>
  <si>
    <t>O1047</t>
  </si>
  <si>
    <t>O1063</t>
  </si>
  <si>
    <t>O1051</t>
  </si>
  <si>
    <t>O1029</t>
  </si>
  <si>
    <t>O1014</t>
  </si>
  <si>
    <t>O1097</t>
  </si>
  <si>
    <t>O1020</t>
  </si>
  <si>
    <t>O1070</t>
  </si>
  <si>
    <t>O1053</t>
  </si>
  <si>
    <t>O1100</t>
  </si>
  <si>
    <t>O1027</t>
  </si>
  <si>
    <t>O1064</t>
  </si>
  <si>
    <t>O1021</t>
  </si>
  <si>
    <t>O1041</t>
  </si>
  <si>
    <t>O1069</t>
  </si>
  <si>
    <t>O1074</t>
  </si>
  <si>
    <t>O1017</t>
  </si>
  <si>
    <t>O1036</t>
  </si>
  <si>
    <t>O1006</t>
  </si>
  <si>
    <t>O1095</t>
  </si>
  <si>
    <t>O1030</t>
  </si>
  <si>
    <t>O1031</t>
  </si>
  <si>
    <t>O1034</t>
  </si>
  <si>
    <t>O1072</t>
  </si>
  <si>
    <t>O1087</t>
  </si>
  <si>
    <t>O1013</t>
  </si>
  <si>
    <t>O1008</t>
  </si>
  <si>
    <t>O1022</t>
  </si>
  <si>
    <t>O1003</t>
  </si>
  <si>
    <t>O1023</t>
  </si>
  <si>
    <t>O1042</t>
  </si>
  <si>
    <t>O1055</t>
  </si>
  <si>
    <t>O1015</t>
  </si>
  <si>
    <t>O1058</t>
  </si>
  <si>
    <t>O1025</t>
  </si>
  <si>
    <t>O1011</t>
  </si>
  <si>
    <t>O1050</t>
  </si>
  <si>
    <t>O1098</t>
  </si>
  <si>
    <t>O1024</t>
  </si>
  <si>
    <t>O1091</t>
  </si>
  <si>
    <t>O1028</t>
  </si>
  <si>
    <t>O1080</t>
  </si>
  <si>
    <t>O1032</t>
  </si>
  <si>
    <t>O1092</t>
  </si>
  <si>
    <t>06/02/2024</t>
  </si>
  <si>
    <t>05-Dec-2024</t>
  </si>
  <si>
    <t>28-Feb-2024</t>
  </si>
  <si>
    <t>2024/12/10</t>
  </si>
  <si>
    <t>22-Jun-2024</t>
  </si>
  <si>
    <t>2024/03/31</t>
  </si>
  <si>
    <t>Feb 20 2024</t>
  </si>
  <si>
    <t>07-Nov-2024</t>
  </si>
  <si>
    <t>19-Jan-2024</t>
  </si>
  <si>
    <t>17-Dec-2024</t>
  </si>
  <si>
    <t>2024/11/20</t>
  </si>
  <si>
    <t>Jul 17 2024</t>
  </si>
  <si>
    <t>2024/07/04</t>
  </si>
  <si>
    <t>09/06/2024</t>
  </si>
  <si>
    <t>16-Feb-2024</t>
  </si>
  <si>
    <t>Jun 27 2024</t>
  </si>
  <si>
    <t>23/08/2024</t>
  </si>
  <si>
    <t>14/03/2024</t>
  </si>
  <si>
    <t>Nov 29 2024</t>
  </si>
  <si>
    <t>20-Jan-2024</t>
  </si>
  <si>
    <t>24-Sep-2024</t>
  </si>
  <si>
    <t>Dec 25 2024</t>
  </si>
  <si>
    <t>11/08/2024</t>
  </si>
  <si>
    <t>20/09/2024</t>
  </si>
  <si>
    <t>2024/05/03</t>
  </si>
  <si>
    <t>20/11/2024</t>
  </si>
  <si>
    <t>18/07/2024</t>
  </si>
  <si>
    <t>06/08/2024</t>
  </si>
  <si>
    <t>06/05/2024</t>
  </si>
  <si>
    <t>30-Dec-2024</t>
  </si>
  <si>
    <t>2024/10/30</t>
  </si>
  <si>
    <t>Jan 23 2024</t>
  </si>
  <si>
    <t>23-Sep-2024</t>
  </si>
  <si>
    <t>15/04/2024</t>
  </si>
  <si>
    <t>18-Jun-2024</t>
  </si>
  <si>
    <t>29/02/2024</t>
  </si>
  <si>
    <t>15/09/2024</t>
  </si>
  <si>
    <t>2024/06/05</t>
  </si>
  <si>
    <t>2024/01/03</t>
  </si>
  <si>
    <t>2024/05/19</t>
  </si>
  <si>
    <t>03/10/2024</t>
  </si>
  <si>
    <t>16/04/2024</t>
  </si>
  <si>
    <t>28/12/2024</t>
  </si>
  <si>
    <t>02/10/2024</t>
  </si>
  <si>
    <t>Mar 15 2024</t>
  </si>
  <si>
    <t>2024/07/11</t>
  </si>
  <si>
    <t>Nov 27 2024</t>
  </si>
  <si>
    <t>08/09/2024</t>
  </si>
  <si>
    <t>30/08/2024</t>
  </si>
  <si>
    <t>10/05/2024</t>
  </si>
  <si>
    <t>24/07/2024</t>
  </si>
  <si>
    <t>14-Jan-2024</t>
  </si>
  <si>
    <t>15-Feb-2024</t>
  </si>
  <si>
    <t>07-Apr-2024</t>
  </si>
  <si>
    <t>12-Aug-2024</t>
  </si>
  <si>
    <t>2024/02/01</t>
  </si>
  <si>
    <t>2024/09/20</t>
  </si>
  <si>
    <t>Nov 02 2024</t>
  </si>
  <si>
    <t>10/03/2024</t>
  </si>
  <si>
    <t>Aug 17 2024</t>
  </si>
  <si>
    <t>12-Apr-2024</t>
  </si>
  <si>
    <t>Feb 18 2024</t>
  </si>
  <si>
    <t>Oct 05 2024</t>
  </si>
  <si>
    <t>Jan 02 2024</t>
  </si>
  <si>
    <t>2024/02/27</t>
  </si>
  <si>
    <t>04-Aug-2024</t>
  </si>
  <si>
    <t>22/03/2024</t>
  </si>
  <si>
    <t>Mar 06 2024</t>
  </si>
  <si>
    <t>Sep 25 2024</t>
  </si>
  <si>
    <t>2024/07/27</t>
  </si>
  <si>
    <t>19-Jun-2024</t>
  </si>
  <si>
    <t>08-Oct-2024</t>
  </si>
  <si>
    <t>28-Jul-2024</t>
  </si>
  <si>
    <t>10/06/2024</t>
  </si>
  <si>
    <t>2024/06/28</t>
  </si>
  <si>
    <t>17-Aug-2024</t>
  </si>
  <si>
    <t>25-Sep-2024</t>
  </si>
  <si>
    <t>2024/09/04</t>
  </si>
  <si>
    <t>14-Feb-2024</t>
  </si>
  <si>
    <t>15/12/2024</t>
  </si>
  <si>
    <t>2024/02/04</t>
  </si>
  <si>
    <t>2024/04/07</t>
  </si>
  <si>
    <t>2024/05/28</t>
  </si>
  <si>
    <t>Apr 01 2024</t>
  </si>
  <si>
    <t>2024/10/12</t>
  </si>
  <si>
    <t>2024/01/15</t>
  </si>
  <si>
    <t>2024/07/17</t>
  </si>
  <si>
    <t>03/11/2024</t>
  </si>
  <si>
    <t>13-Oct-2024</t>
  </si>
  <si>
    <t>2024/11/30</t>
  </si>
  <si>
    <t>Feb 19 2024</t>
  </si>
  <si>
    <t>Jun 16 2024</t>
  </si>
  <si>
    <t>Mar 20 2024</t>
  </si>
  <si>
    <t>01-Sep-2024</t>
  </si>
  <si>
    <t>21-Apr-2024</t>
  </si>
  <si>
    <t>24/05/2024</t>
  </si>
  <si>
    <t>31/01/2024</t>
  </si>
  <si>
    <t>Aug 19 2024</t>
  </si>
  <si>
    <t>10-Nov-2024</t>
  </si>
  <si>
    <t>2024/10/05</t>
  </si>
  <si>
    <t>19/03/2024</t>
  </si>
  <si>
    <t>06/12/2024</t>
  </si>
  <si>
    <t>Feb 25 2024</t>
  </si>
  <si>
    <t>Jul 30 2024</t>
  </si>
  <si>
    <t>02/01/2024</t>
  </si>
  <si>
    <t>Oct 28 2024</t>
  </si>
  <si>
    <t>2024/11/10</t>
  </si>
  <si>
    <t>28/03/2024</t>
  </si>
  <si>
    <t>26/04/2024</t>
  </si>
  <si>
    <t>30/10/2024</t>
  </si>
  <si>
    <t>2024/01/05</t>
  </si>
  <si>
    <t>14/10/2024</t>
  </si>
  <si>
    <t>2024/08/09</t>
  </si>
  <si>
    <t>2024/08/03</t>
  </si>
  <si>
    <t>03/01/2024</t>
  </si>
  <si>
    <t>Oct 04 2024</t>
  </si>
  <si>
    <t>Aug 01 2024</t>
  </si>
  <si>
    <t>Jan 19 2024</t>
  </si>
  <si>
    <t>01/10/2024</t>
  </si>
  <si>
    <t>Jan 21 2024</t>
  </si>
  <si>
    <t>Nov 18 2024</t>
  </si>
  <si>
    <t>12/03/2024</t>
  </si>
  <si>
    <t>20/07/2024</t>
  </si>
  <si>
    <t>2024/01/19</t>
  </si>
  <si>
    <t>2024/08/27</t>
  </si>
  <si>
    <t>2024/12/19</t>
  </si>
  <si>
    <t>2024/01/01</t>
  </si>
  <si>
    <t>07/09/2024</t>
  </si>
  <si>
    <t>09-Mar-2024</t>
  </si>
  <si>
    <t>26/11/2024</t>
  </si>
  <si>
    <t>27/08/2024</t>
  </si>
  <si>
    <t>Mar 28 2024</t>
  </si>
  <si>
    <t>2024/05/15</t>
  </si>
  <si>
    <t>2024/07/12</t>
  </si>
  <si>
    <t>18/01/2024</t>
  </si>
  <si>
    <t>Sep 08 2024</t>
  </si>
  <si>
    <t>Sep 16 2024</t>
  </si>
  <si>
    <t>2024/02/21</t>
  </si>
  <si>
    <t>2024/06/01</t>
  </si>
  <si>
    <t>2024/07/06</t>
  </si>
  <si>
    <t>2024/09/07</t>
  </si>
  <si>
    <t>north</t>
  </si>
  <si>
    <t>East</t>
  </si>
  <si>
    <t>West</t>
  </si>
  <si>
    <t>south</t>
  </si>
  <si>
    <t>South</t>
  </si>
  <si>
    <t>North</t>
  </si>
  <si>
    <t>Mobile</t>
  </si>
  <si>
    <t>Laptop</t>
  </si>
  <si>
    <t>Tablet</t>
  </si>
  <si>
    <t>Watch</t>
  </si>
  <si>
    <t>Headphones</t>
  </si>
  <si>
    <t>Camera</t>
  </si>
  <si>
    <t>John</t>
  </si>
  <si>
    <t>Karthik</t>
  </si>
  <si>
    <t>Anitha</t>
  </si>
  <si>
    <t>Divya</t>
  </si>
  <si>
    <t>Arjun</t>
  </si>
  <si>
    <t>Suresh</t>
  </si>
  <si>
    <t>Naveen</t>
  </si>
  <si>
    <t>Meena</t>
  </si>
  <si>
    <t>Priya</t>
  </si>
  <si>
    <t>Rajesh</t>
  </si>
  <si>
    <t>Pending</t>
  </si>
  <si>
    <t>Cancelled</t>
  </si>
  <si>
    <t>Delivered</t>
  </si>
  <si>
    <t>TotalSales</t>
  </si>
  <si>
    <t>Total Sales</t>
  </si>
  <si>
    <t>Total Orders</t>
  </si>
  <si>
    <t>Row Labels</t>
  </si>
  <si>
    <t>Grand Total</t>
  </si>
  <si>
    <t>Sum of TotalSales</t>
  </si>
  <si>
    <t>(All)</t>
  </si>
  <si>
    <t>Month&amp;Year</t>
  </si>
  <si>
    <t>Jan</t>
  </si>
  <si>
    <t>Feb</t>
  </si>
  <si>
    <t>Mar</t>
  </si>
  <si>
    <t>Apr</t>
  </si>
  <si>
    <t>May</t>
  </si>
  <si>
    <t>Jun</t>
  </si>
  <si>
    <t>Jul</t>
  </si>
  <si>
    <t>Aug</t>
  </si>
  <si>
    <t>Sep</t>
  </si>
  <si>
    <t>Oct</t>
  </si>
  <si>
    <t>Nov</t>
  </si>
  <si>
    <t>Dec</t>
  </si>
  <si>
    <t>Total</t>
  </si>
  <si>
    <t>Avg Order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</si>
</sst>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2" borderId="0" xfId="0" applyFill="1"/>
  </cellXfs>
  <cellStyles count="1">
    <cellStyle name="Normal" xfId="0" builtinId="0"/>
  </cellStyles>
  <dxfs count="9">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numFmt numFmtId="164" formatCode="[$-409]d\-mmm\-yyyy;@"/>
    </dxf>
    <dxf>
      <numFmt numFmtId="164" formatCode="[$-409]d\-m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3F2FD"/>
      <color rgb="FF2121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[Sales_Dashboard_By_Naveen.xlsx]PivotTable!PivotTable2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PivotTable!$F$13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229-4207-B92D-A6BBBAE8E0D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229-4207-B92D-A6BBBAE8E0D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229-4207-B92D-A6BBBAE8E0D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229-4207-B92D-A6BBBAE8E0D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229-4207-B92D-A6BBBAE8E0D4}"/>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229-4207-B92D-A6BBBAE8E0D4}"/>
              </c:ext>
            </c:extLst>
          </c:dPt>
          <c:cat>
            <c:strRef>
              <c:f>PivotTable!$E$14:$E$20</c:f>
              <c:strCache>
                <c:ptCount val="6"/>
                <c:pt idx="0">
                  <c:v>Watch</c:v>
                </c:pt>
                <c:pt idx="1">
                  <c:v>Tablet</c:v>
                </c:pt>
                <c:pt idx="2">
                  <c:v>Mobile</c:v>
                </c:pt>
                <c:pt idx="3">
                  <c:v>Laptop</c:v>
                </c:pt>
                <c:pt idx="4">
                  <c:v>Headphones</c:v>
                </c:pt>
                <c:pt idx="5">
                  <c:v>Camera</c:v>
                </c:pt>
              </c:strCache>
            </c:strRef>
          </c:cat>
          <c:val>
            <c:numRef>
              <c:f>PivotTable!$F$14:$F$20</c:f>
              <c:numCache>
                <c:formatCode>General</c:formatCode>
                <c:ptCount val="6"/>
                <c:pt idx="0">
                  <c:v>7064019</c:v>
                </c:pt>
                <c:pt idx="1">
                  <c:v>5357834</c:v>
                </c:pt>
                <c:pt idx="2">
                  <c:v>5159777</c:v>
                </c:pt>
                <c:pt idx="3">
                  <c:v>5560643</c:v>
                </c:pt>
                <c:pt idx="4">
                  <c:v>5605417</c:v>
                </c:pt>
                <c:pt idx="5">
                  <c:v>4000051</c:v>
                </c:pt>
              </c:numCache>
            </c:numRef>
          </c:val>
          <c:extLst>
            <c:ext xmlns:c16="http://schemas.microsoft.com/office/drawing/2014/chart" uri="{C3380CC4-5D6E-409C-BE32-E72D297353CC}">
              <c16:uniqueId val="{0000000C-D229-4207-B92D-A6BBBAE8E0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[Sales_Dashboard_By_Naveen.xlsx]PivotTable!PivotTable3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a:t>
            </a:r>
            <a:r>
              <a:rPr lang="en-US" baseline="0"/>
              <a: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PivotTable!$J$3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PivotTable!$I$4:$I$16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PivotTable!$J$4:$J$16</c:f>
              <c:numCache>
                <c:formatCode>General</c:formatCode>
                <c:ptCount val="12"/>
                <c:pt idx="0">
                  <c:v>3013649</c:v>
                </c:pt>
                <c:pt idx="1">
                  <c:v>3603650</c:v>
                </c:pt>
                <c:pt idx="2">
                  <c:v>3280003</c:v>
                </c:pt>
                <c:pt idx="3">
                  <c:v>2436612</c:v>
                </c:pt>
                <c:pt idx="4">
                  <c:v>1113802</c:v>
                </c:pt>
                <c:pt idx="5">
                  <c:v>1864103</c:v>
                </c:pt>
                <c:pt idx="6">
                  <c:v>2818289</c:v>
                </c:pt>
                <c:pt idx="7">
                  <c:v>2427645</c:v>
                </c:pt>
                <c:pt idx="8">
                  <c:v>5378593</c:v>
                </c:pt>
                <c:pt idx="9">
                  <c:v>1804069</c:v>
                </c:pt>
                <c:pt idx="10">
                  <c:v>2813464</c:v>
                </c:pt>
                <c:pt idx="11">
                  <c:v>2193862</c:v>
                </c:pt>
              </c:numCache>
            </c:numRef>
          </c:val>
          <c:smooth val="0"/>
          <c:extLst>
            <c:ext xmlns:c16="http://schemas.microsoft.com/office/drawing/2014/chart" uri="{C3380CC4-5D6E-409C-BE32-E72D297353CC}">
              <c16:uniqueId val="{00000000-0C95-4220-B3E0-60A50906F8A1}"/>
            </c:ext>
          </c:extLst>
        </c:ser>
        <c:dLbls>
          <c:showLegendKey val="0"/>
          <c:showVal val="0"/>
          <c:showCatName val="0"/>
          <c:showSerName val="0"/>
          <c:showPercent val="0"/>
          <c:showBubbleSize val="0"/>
        </c:dLbls>
        <c:marker val="1"/>
        <c:smooth val="0"/>
        <c:axId val="731060895"/>
        <c:axId val="731061375"/>
      </c:lineChart>
      <c:catAx>
        <c:axId val="7310608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61375"/>
        <c:crosses val="autoZero"/>
        <c:auto val="1"/>
        <c:lblAlgn val="ctr"/>
        <c:lblOffset val="100"/>
        <c:noMultiLvlLbl val="0"/>
      </c:catAx>
      <c:valAx>
        <c:axId val="7310613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106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[Sales_Dashboard_By_Naveen.xlsx]PivotTable!PivotTable4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Eachperson</a:t>
            </a:r>
            <a:r>
              <a:rPr lang="en-US" baseline="0"/>
              <a:t>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PivotTable!$J$23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PivotTable!$I$24:$I$34</c:f>
              <c:strCache>
                <c:ptCount val="10"/>
                <c:pt idx="0">
                  <c:v>Anitha</c:v>
                </c:pt>
                <c:pt idx="1">
                  <c:v>Arjun</c:v>
                </c:pt>
                <c:pt idx="2">
                  <c:v>Divya</c:v>
                </c:pt>
                <c:pt idx="3">
                  <c:v>John</c:v>
                </c:pt>
                <c:pt idx="4">
                  <c:v>Karthik</c:v>
                </c:pt>
                <c:pt idx="5">
                  <c:v>Meena</c:v>
                </c:pt>
                <c:pt idx="6">
                  <c:v>Naveen</c:v>
                </c:pt>
                <c:pt idx="7">
                  <c:v>Priya</c:v>
                </c:pt>
                <c:pt idx="8">
                  <c:v>Rajesh</c:v>
                </c:pt>
                <c:pt idx="9">
                  <c:v>Suresh</c:v>
                </c:pt>
              </c:strCache>
            </c:strRef>
          </c:cat>
          <c:val>
            <c:numRef>
              <c:f>PivotTable!$J$24:$J$34</c:f>
              <c:numCache>
                <c:formatCode>General</c:formatCode>
                <c:ptCount val="10"/>
                <c:pt idx="0">
                  <c:v>3675255</c:v>
                </c:pt>
                <c:pt idx="1">
                  <c:v>3589800</c:v>
                </c:pt>
                <c:pt idx="2">
                  <c:v>2910926</c:v>
                </c:pt>
                <c:pt idx="3">
                  <c:v>3100045</c:v>
                </c:pt>
                <c:pt idx="4">
                  <c:v>2754427</c:v>
                </c:pt>
                <c:pt idx="5">
                  <c:v>1708226</c:v>
                </c:pt>
                <c:pt idx="6">
                  <c:v>4259189</c:v>
                </c:pt>
                <c:pt idx="7">
                  <c:v>4466348</c:v>
                </c:pt>
                <c:pt idx="8">
                  <c:v>3378569</c:v>
                </c:pt>
                <c:pt idx="9">
                  <c:v>2904956</c:v>
                </c:pt>
              </c:numCache>
            </c:numRef>
          </c:val>
          <c:extLst>
            <c:ext xmlns:c16="http://schemas.microsoft.com/office/drawing/2014/chart" uri="{C3380CC4-5D6E-409C-BE32-E72D297353CC}">
              <c16:uniqueId val="{00000000-2803-4DBD-B52D-FA3D1568EB95}"/>
            </c:ext>
          </c:extLst>
        </c:ser>
        <c:dLbls>
          <c:showLegendKey val="0"/>
          <c:showVal val="0"/>
          <c:showCatName val="0"/>
          <c:showSerName val="0"/>
          <c:showPercent val="0"/>
          <c:showBubbleSize val="0"/>
        </c:dLbls>
        <c:gapWidth val="115"/>
        <c:overlap val="-20"/>
        <c:axId val="49941359"/>
        <c:axId val="49938479"/>
      </c:barChart>
      <c:catAx>
        <c:axId val="49941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38479"/>
        <c:crosses val="autoZero"/>
        <c:auto val="1"/>
        <c:lblAlgn val="ctr"/>
        <c:lblOffset val="100"/>
        <c:noMultiLvlLbl val="0"/>
      </c:catAx>
      <c:valAx>
        <c:axId val="499384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4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[Sales_Dashboard_By_Naveen.xlsx]PivotTable!PivotTable1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PivotTable!$E$4:$E$8</c:f>
              <c:strCache>
                <c:ptCount val="4"/>
                <c:pt idx="0">
                  <c:v>East</c:v>
                </c:pt>
                <c:pt idx="1">
                  <c:v>North</c:v>
                </c:pt>
                <c:pt idx="2">
                  <c:v>South</c:v>
                </c:pt>
                <c:pt idx="3">
                  <c:v>West</c:v>
                </c:pt>
              </c:strCache>
            </c:strRef>
          </c:cat>
          <c:val>
            <c:numRef>
              <c:f>PivotTable!$F$4:$F$8</c:f>
              <c:numCache>
                <c:formatCode>General</c:formatCode>
                <c:ptCount val="4"/>
                <c:pt idx="0">
                  <c:v>5614097</c:v>
                </c:pt>
                <c:pt idx="1">
                  <c:v>11258107</c:v>
                </c:pt>
                <c:pt idx="2">
                  <c:v>11755947</c:v>
                </c:pt>
                <c:pt idx="3">
                  <c:v>4119590</c:v>
                </c:pt>
              </c:numCache>
            </c:numRef>
          </c:val>
          <c:extLst>
            <c:ext xmlns:c16="http://schemas.microsoft.com/office/drawing/2014/chart" uri="{C3380CC4-5D6E-409C-BE32-E72D297353CC}">
              <c16:uniqueId val="{00000000-D4CD-4C05-BF9A-56DDE4397011}"/>
            </c:ext>
          </c:extLst>
        </c:ser>
        <c:dLbls>
          <c:showLegendKey val="0"/>
          <c:showVal val="0"/>
          <c:showCatName val="0"/>
          <c:showSerName val="0"/>
          <c:showPercent val="0"/>
          <c:showBubbleSize val="0"/>
        </c:dLbls>
        <c:gapWidth val="100"/>
        <c:overlap val="-24"/>
        <c:axId val="1711448751"/>
        <c:axId val="1711449711"/>
      </c:barChart>
      <c:catAx>
        <c:axId val="1711448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449711"/>
        <c:crosses val="autoZero"/>
        <c:auto val="1"/>
        <c:lblAlgn val="ctr"/>
        <c:lblOffset val="100"/>
        <c:noMultiLvlLbl val="0"/>
      </c:catAx>
      <c:valAx>
        <c:axId val="1711449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44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91440</xdr:colOff>
      <xdr:row>16</xdr:row>
      <xdr:rowOff>45720</xdr:rowOff>
    </xdr:from>
    <xdr:ext cx="184731" cy="264560"/>
    <xdr:sp macro="" textlink="">
      <xdr:nvSpPr>
        <xdr:cNvPr id="2" name="TextBox 1">
          <a:extLst>
            <a:ext uri="{FF2B5EF4-FFF2-40B4-BE49-F238E27FC236}">
              <a16:creationId xmlns:a16="http://schemas.microsoft.com/office/drawing/2014/main" id="{80D32F46-A983-0B8E-DDEA-E388BF815223}"/>
            </a:ext>
          </a:extLst>
        </xdr:cNvPr>
        <xdr:cNvSpPr txBox="1"/>
      </xdr:nvSpPr>
      <xdr:spPr>
        <a:xfrm>
          <a:off x="5836920" y="2971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15</xdr:col>
      <xdr:colOff>312420</xdr:colOff>
      <xdr:row>0</xdr:row>
      <xdr:rowOff>121920</xdr:rowOff>
    </xdr:from>
    <xdr:to>
      <xdr:col>22</xdr:col>
      <xdr:colOff>598932</xdr:colOff>
      <xdr:row>19</xdr:row>
      <xdr:rowOff>160020</xdr:rowOff>
    </xdr:to>
    <xdr:graphicFrame macro="">
      <xdr:nvGraphicFramePr>
        <xdr:cNvPr id="3" name="Chart 2">
          <a:extLst>
            <a:ext uri="{FF2B5EF4-FFF2-40B4-BE49-F238E27FC236}">
              <a16:creationId xmlns:a16="http://schemas.microsoft.com/office/drawing/2014/main" id="{DC9D0A2D-4AD2-4824-9B25-28150D2F5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20</xdr:row>
      <xdr:rowOff>38100</xdr:rowOff>
    </xdr:from>
    <xdr:to>
      <xdr:col>23</xdr:col>
      <xdr:colOff>12192</xdr:colOff>
      <xdr:row>35</xdr:row>
      <xdr:rowOff>102108</xdr:rowOff>
    </xdr:to>
    <xdr:graphicFrame macro="">
      <xdr:nvGraphicFramePr>
        <xdr:cNvPr id="4" name="Chart 3">
          <a:extLst>
            <a:ext uri="{FF2B5EF4-FFF2-40B4-BE49-F238E27FC236}">
              <a16:creationId xmlns:a16="http://schemas.microsoft.com/office/drawing/2014/main" id="{DD5AEB4D-5831-4551-9F2F-E891C4C21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205740</xdr:colOff>
      <xdr:row>20</xdr:row>
      <xdr:rowOff>30480</xdr:rowOff>
    </xdr:from>
    <xdr:to>
      <xdr:col>7</xdr:col>
      <xdr:colOff>487680</xdr:colOff>
      <xdr:row>35</xdr:row>
      <xdr:rowOff>91440</xdr:rowOff>
    </xdr:to>
    <xdr:graphicFrame macro="">
      <xdr:nvGraphicFramePr>
        <xdr:cNvPr id="5" name="Chart 4">
          <a:extLst>
            <a:ext uri="{FF2B5EF4-FFF2-40B4-BE49-F238E27FC236}">
              <a16:creationId xmlns:a16="http://schemas.microsoft.com/office/drawing/2014/main" id="{78DEA39C-51DE-4ADA-AB6B-EDB796DFA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396240</xdr:colOff>
      <xdr:row>4</xdr:row>
      <xdr:rowOff>129540</xdr:rowOff>
    </xdr:from>
    <xdr:to>
      <xdr:col>15</xdr:col>
      <xdr:colOff>182880</xdr:colOff>
      <xdr:row>20</xdr:row>
      <xdr:rowOff>10668</xdr:rowOff>
    </xdr:to>
    <xdr:graphicFrame macro="">
      <xdr:nvGraphicFramePr>
        <xdr:cNvPr id="6" name="Chart 5">
          <a:extLst>
            <a:ext uri="{FF2B5EF4-FFF2-40B4-BE49-F238E27FC236}">
              <a16:creationId xmlns:a16="http://schemas.microsoft.com/office/drawing/2014/main" id="{006670E3-E317-4F4E-AD12-824746A3D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236220</xdr:colOff>
      <xdr:row>0</xdr:row>
      <xdr:rowOff>45720</xdr:rowOff>
    </xdr:from>
    <xdr:to>
      <xdr:col>3</xdr:col>
      <xdr:colOff>455676</xdr:colOff>
      <xdr:row>5</xdr:row>
      <xdr:rowOff>100584</xdr:rowOff>
    </xdr:to>
    <xdr:sp macro="" textlink="SourceData!M3">
      <xdr:nvSpPr>
        <xdr:cNvPr id="7" name="TextBox 6">
          <a:extLst>
            <a:ext uri="{FF2B5EF4-FFF2-40B4-BE49-F238E27FC236}">
              <a16:creationId xmlns:a16="http://schemas.microsoft.com/office/drawing/2014/main" id="{A7039641-75AE-515C-D706-619D543554CD}"/>
            </a:ext>
          </a:extLst>
        </xdr:cNvPr>
        <xdr:cNvSpPr txBox="1"/>
      </xdr:nvSpPr>
      <xdr:spPr>
        <a:xfrm>
          <a:off x="236220" y="45720"/>
          <a:ext cx="2048256" cy="969264"/>
        </a:xfrm>
        <a:prstGeom prst="roundRect">
          <a:avLst/>
        </a:prstGeom>
        <a:ln/>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1600" b="1" i="0" u="none" strike="noStrike" baseline="0">
              <a:solidFill>
                <a:srgbClr val="000000"/>
              </a:solidFill>
              <a:latin typeface="Calibri"/>
              <a:ea typeface="Calibri"/>
              <a:cs typeface="Calibri"/>
            </a:rPr>
            <a:t>TOTAL SALES</a:t>
          </a:r>
        </a:p>
        <a:p>
          <a:pPr algn="ctr"/>
          <a:endParaRPr lang="en-US" sz="1100" b="0" i="0" u="none" strike="noStrike" baseline="0">
            <a:solidFill>
              <a:srgbClr val="000000"/>
            </a:solidFill>
            <a:latin typeface="Calibri"/>
            <a:ea typeface="Calibri"/>
            <a:cs typeface="Calibri"/>
          </a:endParaRPr>
        </a:p>
        <a:p>
          <a:pPr algn="ctr"/>
          <a:fld id="{2CBD0A0E-161E-4AF0-896E-C1DE7EB5E065}" type="TxLink">
            <a:rPr lang="en-US" sz="1800" b="1" i="0" u="none" strike="noStrike" baseline="0">
              <a:solidFill>
                <a:srgbClr val="000000"/>
              </a:solidFill>
              <a:latin typeface="Calibri"/>
              <a:ea typeface="Calibri"/>
              <a:cs typeface="Calibri"/>
            </a:rPr>
            <a:pPr algn="ctr"/>
            <a:t>32747741</a:t>
          </a:fld>
          <a:endParaRPr lang="en-IN" sz="1800" b="1" baseline="0"/>
        </a:p>
      </xdr:txBody>
    </xdr:sp>
    <xdr:clientData/>
  </xdr:twoCellAnchor>
  <xdr:twoCellAnchor>
    <xdr:from>
      <xdr:col>0</xdr:col>
      <xdr:colOff>228600</xdr:colOff>
      <xdr:row>6</xdr:row>
      <xdr:rowOff>91440</xdr:rowOff>
    </xdr:from>
    <xdr:to>
      <xdr:col>3</xdr:col>
      <xdr:colOff>449580</xdr:colOff>
      <xdr:row>11</xdr:row>
      <xdr:rowOff>144780</xdr:rowOff>
    </xdr:to>
    <xdr:sp macro="" textlink="SourceData!N3">
      <xdr:nvSpPr>
        <xdr:cNvPr id="8" name="TextBox 7">
          <a:extLst>
            <a:ext uri="{FF2B5EF4-FFF2-40B4-BE49-F238E27FC236}">
              <a16:creationId xmlns:a16="http://schemas.microsoft.com/office/drawing/2014/main" id="{8A9167FD-8A0D-8FA4-B6A9-80E5AB933681}"/>
            </a:ext>
          </a:extLst>
        </xdr:cNvPr>
        <xdr:cNvSpPr txBox="1"/>
      </xdr:nvSpPr>
      <xdr:spPr>
        <a:xfrm>
          <a:off x="228600" y="1188720"/>
          <a:ext cx="2049780" cy="967740"/>
        </a:xfrm>
        <a:prstGeom prst="roundRect">
          <a:avLst/>
        </a:prstGeom>
        <a:ln/>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1600" b="1" i="0" u="none" strike="noStrike">
              <a:solidFill>
                <a:srgbClr val="000000"/>
              </a:solidFill>
              <a:latin typeface="Calibri"/>
              <a:ea typeface="Calibri"/>
              <a:cs typeface="Calibri"/>
            </a:rPr>
            <a:t>AVG ORDER</a:t>
          </a:r>
          <a:r>
            <a:rPr lang="en-US" sz="1600" b="1" i="0" u="none" strike="noStrike" baseline="0">
              <a:solidFill>
                <a:srgbClr val="000000"/>
              </a:solidFill>
              <a:latin typeface="Calibri"/>
              <a:ea typeface="Calibri"/>
              <a:cs typeface="Calibri"/>
            </a:rPr>
            <a:t> VALUE</a:t>
          </a:r>
          <a:endParaRPr lang="en-US" sz="1600" b="1"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a:p>
          <a:pPr algn="ctr"/>
          <a:fld id="{9915B19B-14E9-43FF-929A-E51DF1104F4E}" type="TxLink">
            <a:rPr lang="en-US" sz="1800" b="1" i="0" u="none" strike="noStrike">
              <a:solidFill>
                <a:srgbClr val="000000"/>
              </a:solidFill>
              <a:latin typeface="Calibri"/>
              <a:ea typeface="Calibri"/>
              <a:cs typeface="Calibri"/>
            </a:rPr>
            <a:pPr algn="ctr"/>
            <a:t>218318</a:t>
          </a:fld>
          <a:endParaRPr lang="en-IN" sz="1800" b="1"/>
        </a:p>
      </xdr:txBody>
    </xdr:sp>
    <xdr:clientData/>
  </xdr:twoCellAnchor>
  <xdr:twoCellAnchor>
    <xdr:from>
      <xdr:col>5</xdr:col>
      <xdr:colOff>30480</xdr:colOff>
      <xdr:row>0</xdr:row>
      <xdr:rowOff>38100</xdr:rowOff>
    </xdr:from>
    <xdr:to>
      <xdr:col>15</xdr:col>
      <xdr:colOff>198120</xdr:colOff>
      <xdr:row>4</xdr:row>
      <xdr:rowOff>68580</xdr:rowOff>
    </xdr:to>
    <xdr:sp macro="" textlink="">
      <xdr:nvSpPr>
        <xdr:cNvPr id="9" name="TextBox 8">
          <a:extLst>
            <a:ext uri="{FF2B5EF4-FFF2-40B4-BE49-F238E27FC236}">
              <a16:creationId xmlns:a16="http://schemas.microsoft.com/office/drawing/2014/main" id="{FCD1B23D-339F-7556-A883-599D697B4F2F}"/>
            </a:ext>
          </a:extLst>
        </xdr:cNvPr>
        <xdr:cNvSpPr txBox="1"/>
      </xdr:nvSpPr>
      <xdr:spPr>
        <a:xfrm>
          <a:off x="3078480" y="38100"/>
          <a:ext cx="6263640" cy="762000"/>
        </a:xfrm>
        <a:prstGeom prst="roundRect">
          <a:avLst/>
        </a:prstGeom>
        <a:ln/>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3200" b="0"/>
            <a:t>Sales Performance</a:t>
          </a:r>
          <a:r>
            <a:rPr lang="en-IN" sz="3200" b="0" baseline="0"/>
            <a:t> Dashboard</a:t>
          </a:r>
          <a:endParaRPr lang="en-IN" sz="3200" b="0"/>
        </a:p>
      </xdr:txBody>
    </xdr:sp>
    <xdr:clientData/>
  </xdr:twoCellAnchor>
  <xdr:twoCellAnchor>
    <xdr:from>
      <xdr:col>0</xdr:col>
      <xdr:colOff>213360</xdr:colOff>
      <xdr:row>13</xdr:row>
      <xdr:rowOff>68580</xdr:rowOff>
    </xdr:from>
    <xdr:to>
      <xdr:col>3</xdr:col>
      <xdr:colOff>432816</xdr:colOff>
      <xdr:row>18</xdr:row>
      <xdr:rowOff>123444</xdr:rowOff>
    </xdr:to>
    <xdr:sp macro="" textlink="SourceData!O3">
      <xdr:nvSpPr>
        <xdr:cNvPr id="10" name="TextBox 9">
          <a:extLst>
            <a:ext uri="{FF2B5EF4-FFF2-40B4-BE49-F238E27FC236}">
              <a16:creationId xmlns:a16="http://schemas.microsoft.com/office/drawing/2014/main" id="{B455AFED-0309-C910-88D0-5C1B0CE520A3}"/>
            </a:ext>
          </a:extLst>
        </xdr:cNvPr>
        <xdr:cNvSpPr txBox="1"/>
      </xdr:nvSpPr>
      <xdr:spPr>
        <a:xfrm>
          <a:off x="213360" y="2446020"/>
          <a:ext cx="2048256" cy="969264"/>
        </a:xfrm>
        <a:prstGeom prst="roundRect">
          <a:avLst/>
        </a:prstGeom>
        <a:ln/>
        <a:effectLst>
          <a:innerShdw blurRad="114300">
            <a:prstClr val="black"/>
          </a:innerShdw>
        </a:effectLst>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1600" b="1" i="0" u="none" strike="noStrike" baseline="0">
              <a:solidFill>
                <a:srgbClr val="000000"/>
              </a:solidFill>
              <a:latin typeface="Calibri"/>
              <a:ea typeface="Calibri"/>
              <a:cs typeface="Calibri"/>
            </a:rPr>
            <a:t>TOTAL ORDERS</a:t>
          </a:r>
        </a:p>
        <a:p>
          <a:pPr algn="ctr"/>
          <a:endParaRPr lang="en-US" sz="1100" b="0" i="0" u="none" strike="noStrike" baseline="0">
            <a:solidFill>
              <a:srgbClr val="000000"/>
            </a:solidFill>
            <a:latin typeface="Calibri"/>
            <a:ea typeface="Calibri"/>
            <a:cs typeface="Calibri"/>
          </a:endParaRPr>
        </a:p>
        <a:p>
          <a:pPr algn="ctr"/>
          <a:fld id="{77FAA4F1-E5EF-4BBB-A790-5988D01F705F}" type="TxLink">
            <a:rPr lang="en-US" sz="1800" b="1" i="0" u="none" strike="noStrike" baseline="0">
              <a:solidFill>
                <a:srgbClr val="000000"/>
              </a:solidFill>
              <a:latin typeface="Calibri"/>
              <a:ea typeface="Calibri"/>
              <a:cs typeface="Calibri"/>
            </a:rPr>
            <a:pPr algn="ctr"/>
            <a:t>75</a:t>
          </a:fld>
          <a:endParaRPr lang="en-IN" sz="1800" b="1" baseline="0"/>
        </a:p>
      </xdr:txBody>
    </xdr:sp>
    <xdr:clientData/>
  </xdr:twoCellAnchor>
  <xdr:twoCellAnchor editAs="oneCell">
    <xdr:from>
      <xdr:col>3</xdr:col>
      <xdr:colOff>586740</xdr:colOff>
      <xdr:row>13</xdr:row>
      <xdr:rowOff>60960</xdr:rowOff>
    </xdr:from>
    <xdr:to>
      <xdr:col>6</xdr:col>
      <xdr:colOff>586740</xdr:colOff>
      <xdr:row>19</xdr:row>
      <xdr:rowOff>175260</xdr:rowOff>
    </xdr:to>
    <mc:AlternateContent xmlns:mc="http://schemas.openxmlformats.org/markup-compatibility/2006" xmlns:a14="http://schemas.microsoft.com/office/drawing/2010/main">
      <mc:Choice Requires="a14">
        <xdr:graphicFrame macro="">
          <xdr:nvGraphicFramePr>
            <xdr:cNvPr id="11" name="Status 1">
              <a:extLst>
                <a:ext uri="{FF2B5EF4-FFF2-40B4-BE49-F238E27FC236}">
                  <a16:creationId xmlns:a16="http://schemas.microsoft.com/office/drawing/2014/main" id="{0A4D4A36-FC5D-45EB-9A79-C14EFF46068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2415540" y="243840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4</xdr:row>
      <xdr:rowOff>99060</xdr:rowOff>
    </xdr:from>
    <xdr:to>
      <xdr:col>6</xdr:col>
      <xdr:colOff>586740</xdr:colOff>
      <xdr:row>13</xdr:row>
      <xdr:rowOff>15240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2A7DBEDB-7BF0-4810-83DD-970E87EE2D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5540" y="830580"/>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prasath S" refreshedDate="45943.676768055557" createdVersion="8" refreshedVersion="8" minRefreshableVersion="3" recordCount="150" xr:uid="{3E23DD64-F590-421D-8104-D864BC1A605B}">
  <cacheSource type="worksheet">
    <worksheetSource ref="A1:J151" sheet="SourceData"/>
  </cacheSource>
  <cacheFields count="11">
    <cacheField name="Order ID" numFmtId="0">
      <sharedItems containsBlank="1"/>
    </cacheField>
    <cacheField name="Order Date" numFmtId="164">
      <sharedItems containsSemiMixedTypes="0" containsNonDate="0" containsDate="1" containsString="0" minDate="2024-01-01T00:00:00" maxDate="2024-12-31T00:00:00" count="124">
        <d v="2024-02-06T00:00:00"/>
        <d v="2024-12-05T00:00:00"/>
        <d v="2024-02-28T00:00:00"/>
        <d v="2024-12-10T00:00:00"/>
        <d v="2024-06-22T00:00:00"/>
        <d v="2024-03-31T00:00:00"/>
        <d v="2024-02-20T00:00:00"/>
        <d v="2024-11-07T00:00:00"/>
        <d v="2024-01-19T00:00:00"/>
        <d v="2024-12-17T00:00:00"/>
        <d v="2024-11-20T00:00:00"/>
        <d v="2024-07-17T00:00:00"/>
        <d v="2024-07-04T00:00:00"/>
        <d v="2024-06-09T00:00:00"/>
        <d v="2024-02-16T00:00:00"/>
        <d v="2024-06-27T00:00:00"/>
        <d v="2024-08-23T00:00:00"/>
        <d v="2024-03-14T00:00:00"/>
        <d v="2024-11-29T00:00:00"/>
        <d v="2024-01-20T00:00:00"/>
        <d v="2024-09-24T00:00:00"/>
        <d v="2024-12-25T00:00:00"/>
        <d v="2024-08-11T00:00:00"/>
        <d v="2024-09-20T00:00:00"/>
        <d v="2024-05-03T00:00:00"/>
        <d v="2024-07-18T00:00:00"/>
        <d v="2024-08-06T00:00:00"/>
        <d v="2024-05-06T00:00:00"/>
        <d v="2024-12-30T00:00:00"/>
        <d v="2024-10-30T00:00:00"/>
        <d v="2024-01-23T00:00:00"/>
        <d v="2024-09-23T00:00:00"/>
        <d v="2024-04-15T00:00:00"/>
        <d v="2024-06-18T00:00:00"/>
        <d v="2024-02-29T00:00:00"/>
        <d v="2024-09-15T00:00:00"/>
        <d v="2024-06-05T00:00:00"/>
        <d v="2024-01-03T00:00:00"/>
        <d v="2024-05-19T00:00:00"/>
        <d v="2024-10-03T00:00:00"/>
        <d v="2024-04-16T00:00:00"/>
        <d v="2024-12-28T00:00:00"/>
        <d v="2024-10-02T00:00:00"/>
        <d v="2024-03-15T00:00:00"/>
        <d v="2024-07-11T00:00:00"/>
        <d v="2024-11-27T00:00:00"/>
        <d v="2024-09-08T00:00:00"/>
        <d v="2024-08-30T00:00:00"/>
        <d v="2024-05-10T00:00:00"/>
        <d v="2024-07-24T00:00:00"/>
        <d v="2024-01-14T00:00:00"/>
        <d v="2024-02-15T00:00:00"/>
        <d v="2024-04-07T00:00:00"/>
        <d v="2024-08-12T00:00:00"/>
        <d v="2024-02-01T00:00:00"/>
        <d v="2024-11-02T00:00:00"/>
        <d v="2024-03-10T00:00:00"/>
        <d v="2024-08-17T00:00:00"/>
        <d v="2024-04-12T00:00:00"/>
        <d v="2024-02-18T00:00:00"/>
        <d v="2024-10-05T00:00:00"/>
        <d v="2024-01-02T00:00:00"/>
        <d v="2024-02-27T00:00:00"/>
        <d v="2024-08-04T00:00:00"/>
        <d v="2024-03-22T00:00:00"/>
        <d v="2024-03-06T00:00:00"/>
        <d v="2024-09-25T00:00:00"/>
        <d v="2024-07-27T00:00:00"/>
        <d v="2024-06-19T00:00:00"/>
        <d v="2024-10-08T00:00:00"/>
        <d v="2024-07-28T00:00:00"/>
        <d v="2024-06-10T00:00:00"/>
        <d v="2024-06-28T00:00:00"/>
        <d v="2024-09-04T00:00:00"/>
        <d v="2024-02-14T00:00:00"/>
        <d v="2024-12-15T00:00:00"/>
        <d v="2024-02-04T00:00:00"/>
        <d v="2024-05-28T00:00:00"/>
        <d v="2024-04-01T00:00:00"/>
        <d v="2024-10-12T00:00:00"/>
        <d v="2024-01-15T00:00:00"/>
        <d v="2024-11-03T00:00:00"/>
        <d v="2024-10-13T00:00:00"/>
        <d v="2024-11-30T00:00:00"/>
        <d v="2024-02-19T00:00:00"/>
        <d v="2024-06-16T00:00:00"/>
        <d v="2024-03-20T00:00:00"/>
        <d v="2024-09-01T00:00:00"/>
        <d v="2024-04-21T00:00:00"/>
        <d v="2024-05-24T00:00:00"/>
        <d v="2024-01-31T00:00:00"/>
        <d v="2024-08-19T00:00:00"/>
        <d v="2024-11-10T00:00:00"/>
        <d v="2024-03-19T00:00:00"/>
        <d v="2024-12-06T00:00:00"/>
        <d v="2024-02-25T00:00:00"/>
        <d v="2024-07-30T00:00:00"/>
        <d v="2024-10-28T00:00:00"/>
        <d v="2024-03-28T00:00:00"/>
        <d v="2024-04-26T00:00:00"/>
        <d v="2024-01-05T00:00:00"/>
        <d v="2024-10-14T00:00:00"/>
        <d v="2024-08-09T00:00:00"/>
        <d v="2024-08-03T00:00:00"/>
        <d v="2024-10-04T00:00:00"/>
        <d v="2024-08-01T00:00:00"/>
        <d v="2024-10-01T00:00:00"/>
        <d v="2024-01-21T00:00:00"/>
        <d v="2024-11-18T00:00:00"/>
        <d v="2024-03-12T00:00:00"/>
        <d v="2024-07-20T00:00:00"/>
        <d v="2024-08-27T00:00:00"/>
        <d v="2024-12-19T00:00:00"/>
        <d v="2024-01-01T00:00:00"/>
        <d v="2024-09-07T00:00:00"/>
        <d v="2024-03-09T00:00:00"/>
        <d v="2024-11-26T00:00:00"/>
        <d v="2024-05-15T00:00:00"/>
        <d v="2024-07-12T00:00:00"/>
        <d v="2024-01-18T00:00:00"/>
        <d v="2024-09-16T00:00:00"/>
        <d v="2024-02-21T00:00:00"/>
        <d v="2024-06-01T00:00:00"/>
        <d v="2024-07-06T00:00:00"/>
      </sharedItems>
      <fieldGroup par="10"/>
    </cacheField>
    <cacheField name="Region" numFmtId="0">
      <sharedItems count="4">
        <s v="North"/>
        <s v="East"/>
        <s v="West"/>
        <s v="South"/>
      </sharedItems>
    </cacheField>
    <cacheField name="Product" numFmtId="0">
      <sharedItems count="6">
        <s v="Mobile"/>
        <s v="Laptop"/>
        <s v="Tablet"/>
        <s v="Watch"/>
        <s v="Headphones"/>
        <s v="Camera"/>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3509" maxValue="300000"/>
    </cacheField>
    <cacheField name="TotalSales" numFmtId="0">
      <sharedItems containsSemiMixedTypes="0" containsString="0" containsNumber="1" containsInteger="1" minValue="3629" maxValue="1500000"/>
    </cacheField>
    <cacheField name="Salesperson" numFmtId="0">
      <sharedItems count="10">
        <s v="John"/>
        <s v="Karthik"/>
        <s v="Anitha"/>
        <s v="Divya"/>
        <s v="Arjun"/>
        <s v="Suresh"/>
        <s v="Naveen"/>
        <s v="Meena"/>
        <s v="Priya"/>
        <s v="Rajesh"/>
      </sharedItems>
    </cacheField>
    <cacheField name="Status" numFmtId="0">
      <sharedItems count="3">
        <s v="Pending"/>
        <s v="Cancelled"/>
        <s v="Delivered"/>
      </sharedItems>
    </cacheField>
    <cacheField name="Days (Order Date)" numFmtId="0" databaseField="0">
      <fieldGroup base="1">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Months (Order Date)" numFmtId="0" databaseField="0">
      <fieldGroup base="1">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21137924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 prasath S" refreshedDate="45972.661835648149" createdVersion="8" refreshedVersion="8" minRefreshableVersion="3" recordCount="150" xr:uid="{1765301B-65F7-4602-8A77-CB6F31500E11}">
  <cacheSource type="worksheet">
    <worksheetSource name="tbl_OrderData"/>
  </cacheSource>
  <cacheFields count="10">
    <cacheField name="Order ID" numFmtId="0">
      <sharedItems containsBlank="1"/>
    </cacheField>
    <cacheField name="Order Date" numFmtId="164">
      <sharedItems containsSemiMixedTypes="0" containsNonDate="0" containsDate="1" containsString="0" minDate="2024-01-01T00:00:00" maxDate="2024-12-31T00:00:00"/>
    </cacheField>
    <cacheField name="Month&amp;Year" numFmtId="164">
      <sharedItems/>
    </cacheField>
    <cacheField name="Region" numFmtId="0">
      <sharedItems count="4">
        <s v="North"/>
        <s v="East"/>
        <s v="West"/>
        <s v="South"/>
      </sharedItems>
    </cacheField>
    <cacheField name="Product" numFmtId="0">
      <sharedItems count="6">
        <s v="Mobile"/>
        <s v="Laptop"/>
        <s v="Tablet"/>
        <s v="Watch"/>
        <s v="Headphones"/>
        <s v="Camera"/>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3509" maxValue="300000"/>
    </cacheField>
    <cacheField name="TotalSales" numFmtId="0">
      <sharedItems containsSemiMixedTypes="0" containsString="0" containsNumber="1" containsInteger="1" minValue="3629" maxValue="1500000"/>
    </cacheField>
    <cacheField name="Salesperson" numFmtId="0">
      <sharedItems count="10">
        <s v="John"/>
        <s v="Karthik"/>
        <s v="Anitha"/>
        <s v="Divya"/>
        <s v="Arjun"/>
        <s v="Suresh"/>
        <s v="Naveen"/>
        <s v="Meena"/>
        <s v="Priya"/>
        <s v="Rajesh"/>
      </sharedItems>
    </cacheField>
    <cacheField name="Status" numFmtId="0">
      <sharedItems count="3">
        <s v="Pending"/>
        <s v="Cancelled"/>
        <s v="Delivered"/>
      </sharedItems>
    </cacheField>
  </cacheFields>
  <extLst>
    <ext xmlns:x14="http://schemas.microsoft.com/office/spreadsheetml/2009/9/main" uri="{725AE2AE-9491-48be-B2B4-4EB974FC3084}">
      <x14:pivotCacheDefinition pivotCacheId="1848264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1000"/>
    <x v="0"/>
    <x v="0"/>
    <x v="0"/>
    <n v="8"/>
    <n v="5934"/>
    <n v="47472"/>
    <x v="0"/>
    <x v="0"/>
  </r>
  <r>
    <s v="O1001"/>
    <x v="1"/>
    <x v="0"/>
    <x v="1"/>
    <n v="6"/>
    <n v="43999"/>
    <n v="263994"/>
    <x v="1"/>
    <x v="0"/>
  </r>
  <r>
    <s v="O1002"/>
    <x v="2"/>
    <x v="1"/>
    <x v="1"/>
    <n v="6"/>
    <n v="200000"/>
    <n v="1200000"/>
    <x v="2"/>
    <x v="0"/>
  </r>
  <r>
    <s v="O1003"/>
    <x v="3"/>
    <x v="2"/>
    <x v="2"/>
    <n v="6"/>
    <n v="34203"/>
    <n v="205218"/>
    <x v="3"/>
    <x v="1"/>
  </r>
  <r>
    <s v="O1005"/>
    <x v="0"/>
    <x v="3"/>
    <x v="3"/>
    <n v="2"/>
    <n v="7844"/>
    <n v="15688"/>
    <x v="3"/>
    <x v="2"/>
  </r>
  <r>
    <s v="O1006"/>
    <x v="4"/>
    <x v="3"/>
    <x v="2"/>
    <n v="6"/>
    <n v="25014"/>
    <n v="150084"/>
    <x v="4"/>
    <x v="1"/>
  </r>
  <r>
    <s v="O1008"/>
    <x v="5"/>
    <x v="2"/>
    <x v="4"/>
    <n v="6"/>
    <n v="70603"/>
    <n v="423618"/>
    <x v="5"/>
    <x v="0"/>
  </r>
  <r>
    <s v="O1009"/>
    <x v="6"/>
    <x v="0"/>
    <x v="2"/>
    <n v="7"/>
    <n v="3629"/>
    <n v="25403"/>
    <x v="5"/>
    <x v="2"/>
  </r>
  <r>
    <s v="O1011"/>
    <x v="7"/>
    <x v="0"/>
    <x v="2"/>
    <n v="6"/>
    <n v="52770"/>
    <n v="316620"/>
    <x v="5"/>
    <x v="2"/>
  </r>
  <r>
    <s v="O1012"/>
    <x v="8"/>
    <x v="3"/>
    <x v="4"/>
    <n v="7"/>
    <n v="5922"/>
    <n v="41454"/>
    <x v="5"/>
    <x v="0"/>
  </r>
  <r>
    <s v="O1013"/>
    <x v="9"/>
    <x v="3"/>
    <x v="1"/>
    <n v="7"/>
    <n v="34082"/>
    <n v="238574"/>
    <x v="4"/>
    <x v="2"/>
  </r>
  <r>
    <s v="O1014"/>
    <x v="10"/>
    <x v="2"/>
    <x v="1"/>
    <n v="10"/>
    <n v="34082"/>
    <n v="340820"/>
    <x v="5"/>
    <x v="1"/>
  </r>
  <r>
    <s v="O1015"/>
    <x v="11"/>
    <x v="3"/>
    <x v="0"/>
    <n v="6"/>
    <n v="79951"/>
    <n v="479706"/>
    <x v="2"/>
    <x v="1"/>
  </r>
  <r>
    <s v="O1016"/>
    <x v="12"/>
    <x v="3"/>
    <x v="0"/>
    <n v="4"/>
    <n v="10921"/>
    <n v="43684"/>
    <x v="0"/>
    <x v="0"/>
  </r>
  <r>
    <s v="O1017"/>
    <x v="13"/>
    <x v="1"/>
    <x v="5"/>
    <n v="6"/>
    <n v="30676"/>
    <n v="184056"/>
    <x v="1"/>
    <x v="0"/>
  </r>
  <r>
    <s v="O1019"/>
    <x v="14"/>
    <x v="2"/>
    <x v="4"/>
    <n v="6"/>
    <n v="68641"/>
    <n v="411846"/>
    <x v="6"/>
    <x v="0"/>
  </r>
  <r>
    <s v="O1020"/>
    <x v="15"/>
    <x v="2"/>
    <x v="0"/>
    <n v="6"/>
    <n v="10921"/>
    <n v="65526"/>
    <x v="7"/>
    <x v="0"/>
  </r>
  <r>
    <s v="O1021"/>
    <x v="16"/>
    <x v="3"/>
    <x v="2"/>
    <n v="6"/>
    <n v="7315"/>
    <n v="43890"/>
    <x v="5"/>
    <x v="2"/>
  </r>
  <r>
    <s v="O1022"/>
    <x v="17"/>
    <x v="0"/>
    <x v="4"/>
    <n v="6"/>
    <n v="35896"/>
    <n v="215376"/>
    <x v="0"/>
    <x v="0"/>
  </r>
  <r>
    <s v="O1023"/>
    <x v="18"/>
    <x v="0"/>
    <x v="3"/>
    <n v="6"/>
    <n v="32343"/>
    <n v="194058"/>
    <x v="5"/>
    <x v="2"/>
  </r>
  <r>
    <s v="O1024"/>
    <x v="19"/>
    <x v="0"/>
    <x v="2"/>
    <n v="6"/>
    <n v="17900"/>
    <n v="107400"/>
    <x v="6"/>
    <x v="1"/>
  </r>
  <r>
    <s v="O1025"/>
    <x v="20"/>
    <x v="0"/>
    <x v="2"/>
    <n v="6"/>
    <n v="3629"/>
    <n v="21774"/>
    <x v="8"/>
    <x v="2"/>
  </r>
  <r>
    <s v="O1027"/>
    <x v="21"/>
    <x v="2"/>
    <x v="0"/>
    <n v="6"/>
    <n v="5342"/>
    <n v="32052"/>
    <x v="3"/>
    <x v="1"/>
  </r>
  <r>
    <s v="O1028"/>
    <x v="22"/>
    <x v="0"/>
    <x v="5"/>
    <n v="1"/>
    <n v="150000"/>
    <n v="150000"/>
    <x v="7"/>
    <x v="0"/>
  </r>
  <r>
    <s v="O1029"/>
    <x v="23"/>
    <x v="0"/>
    <x v="2"/>
    <n v="5"/>
    <n v="300000"/>
    <n v="1500000"/>
    <x v="6"/>
    <x v="2"/>
  </r>
  <r>
    <s v="O1030"/>
    <x v="24"/>
    <x v="0"/>
    <x v="5"/>
    <n v="6"/>
    <n v="18344"/>
    <n v="110064"/>
    <x v="3"/>
    <x v="2"/>
  </r>
  <r>
    <s v="O1031"/>
    <x v="10"/>
    <x v="1"/>
    <x v="0"/>
    <n v="6"/>
    <n v="38646"/>
    <n v="231876"/>
    <x v="8"/>
    <x v="2"/>
  </r>
  <r>
    <s v="O1032"/>
    <x v="25"/>
    <x v="3"/>
    <x v="2"/>
    <n v="6"/>
    <n v="11718"/>
    <n v="70308"/>
    <x v="2"/>
    <x v="0"/>
  </r>
  <r>
    <s v="O1033"/>
    <x v="26"/>
    <x v="1"/>
    <x v="0"/>
    <n v="6"/>
    <n v="42183"/>
    <n v="253098"/>
    <x v="4"/>
    <x v="0"/>
  </r>
  <r>
    <s v="O1034"/>
    <x v="27"/>
    <x v="1"/>
    <x v="2"/>
    <n v="6"/>
    <n v="3629"/>
    <n v="21774"/>
    <x v="3"/>
    <x v="0"/>
  </r>
  <r>
    <s v="O1035"/>
    <x v="28"/>
    <x v="1"/>
    <x v="5"/>
    <n v="3"/>
    <n v="11490"/>
    <n v="34470"/>
    <x v="3"/>
    <x v="0"/>
  </r>
  <r>
    <s v="O1036"/>
    <x v="29"/>
    <x v="0"/>
    <x v="3"/>
    <n v="1"/>
    <n v="74536"/>
    <n v="74536"/>
    <x v="3"/>
    <x v="0"/>
  </r>
  <r>
    <s v="O1037"/>
    <x v="30"/>
    <x v="3"/>
    <x v="2"/>
    <n v="6"/>
    <n v="66002"/>
    <n v="396012"/>
    <x v="8"/>
    <x v="0"/>
  </r>
  <r>
    <s v="O1038"/>
    <x v="31"/>
    <x v="0"/>
    <x v="5"/>
    <n v="9"/>
    <n v="85185"/>
    <n v="766665"/>
    <x v="8"/>
    <x v="1"/>
  </r>
  <r>
    <s v="O1039"/>
    <x v="32"/>
    <x v="2"/>
    <x v="0"/>
    <n v="3"/>
    <n v="10921"/>
    <n v="32763"/>
    <x v="8"/>
    <x v="2"/>
  </r>
  <r>
    <s v="O1041"/>
    <x v="33"/>
    <x v="1"/>
    <x v="2"/>
    <n v="6"/>
    <n v="3629"/>
    <n v="21774"/>
    <x v="8"/>
    <x v="0"/>
  </r>
  <r>
    <s v="O1042"/>
    <x v="34"/>
    <x v="1"/>
    <x v="0"/>
    <n v="1"/>
    <n v="10921"/>
    <n v="10921"/>
    <x v="2"/>
    <x v="0"/>
  </r>
  <r>
    <s v="O1046"/>
    <x v="35"/>
    <x v="1"/>
    <x v="2"/>
    <n v="6"/>
    <n v="23722"/>
    <n v="142332"/>
    <x v="9"/>
    <x v="2"/>
  </r>
  <r>
    <s v="O1047"/>
    <x v="36"/>
    <x v="3"/>
    <x v="3"/>
    <n v="6"/>
    <n v="30968"/>
    <n v="185808"/>
    <x v="0"/>
    <x v="1"/>
  </r>
  <r>
    <s v="O1048"/>
    <x v="37"/>
    <x v="0"/>
    <x v="2"/>
    <n v="6"/>
    <n v="12485"/>
    <n v="74910"/>
    <x v="3"/>
    <x v="2"/>
  </r>
  <r>
    <s v="O1049"/>
    <x v="38"/>
    <x v="0"/>
    <x v="4"/>
    <n v="6"/>
    <n v="20909"/>
    <n v="125454"/>
    <x v="4"/>
    <x v="0"/>
  </r>
  <r>
    <s v="O1050"/>
    <x v="39"/>
    <x v="1"/>
    <x v="1"/>
    <n v="6"/>
    <n v="48612"/>
    <n v="291672"/>
    <x v="9"/>
    <x v="1"/>
  </r>
  <r>
    <s v="O1051"/>
    <x v="40"/>
    <x v="1"/>
    <x v="0"/>
    <n v="6"/>
    <n v="46616"/>
    <n v="279696"/>
    <x v="4"/>
    <x v="2"/>
  </r>
  <r>
    <s v="O1053"/>
    <x v="41"/>
    <x v="3"/>
    <x v="4"/>
    <n v="6"/>
    <n v="72323"/>
    <n v="433938"/>
    <x v="2"/>
    <x v="2"/>
  </r>
  <r>
    <s v="O1055"/>
    <x v="42"/>
    <x v="2"/>
    <x v="0"/>
    <n v="1"/>
    <n v="63449"/>
    <n v="63449"/>
    <x v="3"/>
    <x v="0"/>
  </r>
  <r>
    <s v="O1056"/>
    <x v="43"/>
    <x v="0"/>
    <x v="2"/>
    <n v="9"/>
    <n v="60885"/>
    <n v="547965"/>
    <x v="9"/>
    <x v="2"/>
  </r>
  <r>
    <s v="O1058"/>
    <x v="44"/>
    <x v="0"/>
    <x v="0"/>
    <n v="6"/>
    <n v="10921"/>
    <n v="65526"/>
    <x v="4"/>
    <x v="2"/>
  </r>
  <r>
    <s v="O1060"/>
    <x v="45"/>
    <x v="3"/>
    <x v="4"/>
    <n v="6"/>
    <n v="20909"/>
    <n v="125454"/>
    <x v="9"/>
    <x v="2"/>
  </r>
  <r>
    <s v="O1061"/>
    <x v="46"/>
    <x v="3"/>
    <x v="5"/>
    <n v="8"/>
    <n v="79027"/>
    <n v="632216"/>
    <x v="8"/>
    <x v="2"/>
  </r>
  <r>
    <s v="O1063"/>
    <x v="47"/>
    <x v="3"/>
    <x v="2"/>
    <n v="6"/>
    <n v="24904"/>
    <n v="149424"/>
    <x v="1"/>
    <x v="0"/>
  </r>
  <r>
    <s v="O1064"/>
    <x v="48"/>
    <x v="3"/>
    <x v="4"/>
    <n v="8"/>
    <n v="20909"/>
    <n v="167272"/>
    <x v="5"/>
    <x v="1"/>
  </r>
  <r>
    <s v="O1069"/>
    <x v="49"/>
    <x v="0"/>
    <x v="4"/>
    <n v="6"/>
    <n v="74302"/>
    <n v="445812"/>
    <x v="0"/>
    <x v="0"/>
  </r>
  <r>
    <s v="O1070"/>
    <x v="50"/>
    <x v="3"/>
    <x v="2"/>
    <n v="6"/>
    <n v="75735"/>
    <n v="454410"/>
    <x v="5"/>
    <x v="2"/>
  </r>
  <r>
    <s v="O1072"/>
    <x v="51"/>
    <x v="0"/>
    <x v="3"/>
    <n v="7"/>
    <n v="77702"/>
    <n v="543914"/>
    <x v="4"/>
    <x v="2"/>
  </r>
  <r>
    <s v="O1073"/>
    <x v="52"/>
    <x v="2"/>
    <x v="4"/>
    <n v="9"/>
    <n v="20909"/>
    <n v="188181"/>
    <x v="8"/>
    <x v="2"/>
  </r>
  <r>
    <s v="O1074"/>
    <x v="53"/>
    <x v="3"/>
    <x v="1"/>
    <n v="6"/>
    <n v="34082"/>
    <n v="204492"/>
    <x v="6"/>
    <x v="2"/>
  </r>
  <r>
    <s v="O1075"/>
    <x v="54"/>
    <x v="3"/>
    <x v="3"/>
    <n v="6"/>
    <n v="30968"/>
    <n v="185808"/>
    <x v="7"/>
    <x v="0"/>
  </r>
  <r>
    <s v="O1078"/>
    <x v="23"/>
    <x v="3"/>
    <x v="1"/>
    <n v="6"/>
    <n v="69195"/>
    <n v="415170"/>
    <x v="0"/>
    <x v="0"/>
  </r>
  <r>
    <s v="O1079"/>
    <x v="55"/>
    <x v="2"/>
    <x v="4"/>
    <n v="6"/>
    <n v="20909"/>
    <n v="125454"/>
    <x v="7"/>
    <x v="0"/>
  </r>
  <r>
    <s v="O1080"/>
    <x v="56"/>
    <x v="1"/>
    <x v="3"/>
    <n v="7"/>
    <n v="30968"/>
    <n v="216776"/>
    <x v="2"/>
    <x v="0"/>
  </r>
  <r>
    <s v="O1082"/>
    <x v="57"/>
    <x v="0"/>
    <x v="4"/>
    <n v="5"/>
    <n v="37006"/>
    <n v="185030"/>
    <x v="1"/>
    <x v="0"/>
  </r>
  <r>
    <s v="O1083"/>
    <x v="58"/>
    <x v="2"/>
    <x v="3"/>
    <n v="7"/>
    <n v="59359"/>
    <n v="415513"/>
    <x v="0"/>
    <x v="1"/>
  </r>
  <r>
    <s v="O1084"/>
    <x v="59"/>
    <x v="0"/>
    <x v="3"/>
    <n v="4"/>
    <n v="43313"/>
    <n v="173252"/>
    <x v="1"/>
    <x v="0"/>
  </r>
  <r>
    <s v="O1086"/>
    <x v="60"/>
    <x v="3"/>
    <x v="2"/>
    <n v="1"/>
    <n v="3629"/>
    <n v="3629"/>
    <x v="8"/>
    <x v="2"/>
  </r>
  <r>
    <s v="O1087"/>
    <x v="61"/>
    <x v="3"/>
    <x v="0"/>
    <n v="5"/>
    <n v="10921"/>
    <n v="54605"/>
    <x v="9"/>
    <x v="1"/>
  </r>
  <r>
    <s v="O1089"/>
    <x v="62"/>
    <x v="0"/>
    <x v="1"/>
    <n v="4"/>
    <n v="44196"/>
    <n v="176784"/>
    <x v="1"/>
    <x v="2"/>
  </r>
  <r>
    <s v="O1090"/>
    <x v="63"/>
    <x v="0"/>
    <x v="1"/>
    <n v="9"/>
    <n v="34082"/>
    <n v="306738"/>
    <x v="6"/>
    <x v="0"/>
  </r>
  <r>
    <s v="O1091"/>
    <x v="64"/>
    <x v="3"/>
    <x v="3"/>
    <n v="6"/>
    <n v="81095"/>
    <n v="486570"/>
    <x v="0"/>
    <x v="2"/>
  </r>
  <r>
    <s v="O1092"/>
    <x v="65"/>
    <x v="3"/>
    <x v="2"/>
    <n v="2"/>
    <n v="3629"/>
    <n v="7258"/>
    <x v="7"/>
    <x v="1"/>
  </r>
  <r>
    <s v="O1094"/>
    <x v="66"/>
    <x v="3"/>
    <x v="3"/>
    <n v="6"/>
    <n v="30968"/>
    <n v="185808"/>
    <x v="0"/>
    <x v="0"/>
  </r>
  <r>
    <s v="O1095"/>
    <x v="67"/>
    <x v="1"/>
    <x v="0"/>
    <n v="7"/>
    <n v="85651"/>
    <n v="599557"/>
    <x v="3"/>
    <x v="0"/>
  </r>
  <r>
    <s v="O1096"/>
    <x v="68"/>
    <x v="3"/>
    <x v="3"/>
    <n v="6"/>
    <n v="30968"/>
    <n v="185808"/>
    <x v="4"/>
    <x v="2"/>
  </r>
  <r>
    <s v="O1097"/>
    <x v="69"/>
    <x v="0"/>
    <x v="0"/>
    <n v="5"/>
    <n v="39344"/>
    <n v="196720"/>
    <x v="4"/>
    <x v="2"/>
  </r>
  <r>
    <s v="O1098"/>
    <x v="70"/>
    <x v="0"/>
    <x v="2"/>
    <n v="7"/>
    <n v="3629"/>
    <n v="25403"/>
    <x v="8"/>
    <x v="0"/>
  </r>
  <r>
    <s v="O1100"/>
    <x v="71"/>
    <x v="3"/>
    <x v="2"/>
    <n v="4"/>
    <n v="3629"/>
    <n v="14516"/>
    <x v="1"/>
    <x v="2"/>
  </r>
  <r>
    <m/>
    <x v="72"/>
    <x v="2"/>
    <x v="4"/>
    <n v="9"/>
    <n v="20909"/>
    <n v="188181"/>
    <x v="7"/>
    <x v="2"/>
  </r>
  <r>
    <m/>
    <x v="57"/>
    <x v="1"/>
    <x v="1"/>
    <n v="6"/>
    <n v="69467"/>
    <n v="416802"/>
    <x v="8"/>
    <x v="2"/>
  </r>
  <r>
    <m/>
    <x v="66"/>
    <x v="3"/>
    <x v="3"/>
    <n v="1"/>
    <n v="30968"/>
    <n v="30968"/>
    <x v="8"/>
    <x v="0"/>
  </r>
  <r>
    <m/>
    <x v="73"/>
    <x v="1"/>
    <x v="0"/>
    <n v="6"/>
    <n v="42245"/>
    <n v="253470"/>
    <x v="4"/>
    <x v="0"/>
  </r>
  <r>
    <m/>
    <x v="74"/>
    <x v="1"/>
    <x v="2"/>
    <n v="6"/>
    <n v="3629"/>
    <n v="21774"/>
    <x v="2"/>
    <x v="2"/>
  </r>
  <r>
    <m/>
    <x v="75"/>
    <x v="3"/>
    <x v="3"/>
    <n v="10"/>
    <n v="30968"/>
    <n v="309680"/>
    <x v="9"/>
    <x v="1"/>
  </r>
  <r>
    <m/>
    <x v="76"/>
    <x v="3"/>
    <x v="2"/>
    <n v="6"/>
    <n v="3629"/>
    <n v="21774"/>
    <x v="3"/>
    <x v="1"/>
  </r>
  <r>
    <m/>
    <x v="19"/>
    <x v="3"/>
    <x v="5"/>
    <n v="6"/>
    <n v="22712"/>
    <n v="136272"/>
    <x v="5"/>
    <x v="2"/>
  </r>
  <r>
    <m/>
    <x v="52"/>
    <x v="0"/>
    <x v="3"/>
    <n v="6"/>
    <n v="51317"/>
    <n v="307902"/>
    <x v="6"/>
    <x v="0"/>
  </r>
  <r>
    <m/>
    <x v="77"/>
    <x v="1"/>
    <x v="2"/>
    <n v="6"/>
    <n v="29216"/>
    <n v="175296"/>
    <x v="9"/>
    <x v="2"/>
  </r>
  <r>
    <m/>
    <x v="78"/>
    <x v="0"/>
    <x v="1"/>
    <n v="6"/>
    <n v="34082"/>
    <n v="204492"/>
    <x v="1"/>
    <x v="0"/>
  </r>
  <r>
    <m/>
    <x v="79"/>
    <x v="3"/>
    <x v="2"/>
    <n v="4"/>
    <n v="3509"/>
    <n v="14036"/>
    <x v="0"/>
    <x v="0"/>
  </r>
  <r>
    <m/>
    <x v="80"/>
    <x v="3"/>
    <x v="2"/>
    <n v="6"/>
    <n v="76095"/>
    <n v="456570"/>
    <x v="9"/>
    <x v="1"/>
  </r>
  <r>
    <m/>
    <x v="11"/>
    <x v="0"/>
    <x v="1"/>
    <n v="7"/>
    <n v="52219"/>
    <n v="365533"/>
    <x v="9"/>
    <x v="0"/>
  </r>
  <r>
    <m/>
    <x v="81"/>
    <x v="3"/>
    <x v="5"/>
    <n v="9"/>
    <n v="39296"/>
    <n v="353664"/>
    <x v="8"/>
    <x v="2"/>
  </r>
  <r>
    <m/>
    <x v="82"/>
    <x v="3"/>
    <x v="2"/>
    <n v="6"/>
    <n v="3629"/>
    <n v="21774"/>
    <x v="5"/>
    <x v="1"/>
  </r>
  <r>
    <m/>
    <x v="83"/>
    <x v="1"/>
    <x v="5"/>
    <n v="6"/>
    <n v="26694"/>
    <n v="160164"/>
    <x v="6"/>
    <x v="2"/>
  </r>
  <r>
    <m/>
    <x v="84"/>
    <x v="2"/>
    <x v="4"/>
    <n v="6"/>
    <n v="37711"/>
    <n v="226266"/>
    <x v="8"/>
    <x v="1"/>
  </r>
  <r>
    <m/>
    <x v="85"/>
    <x v="0"/>
    <x v="1"/>
    <n v="6"/>
    <n v="12794"/>
    <n v="76764"/>
    <x v="8"/>
    <x v="2"/>
  </r>
  <r>
    <m/>
    <x v="86"/>
    <x v="3"/>
    <x v="5"/>
    <n v="4"/>
    <n v="38501"/>
    <n v="154004"/>
    <x v="2"/>
    <x v="2"/>
  </r>
  <r>
    <m/>
    <x v="87"/>
    <x v="0"/>
    <x v="0"/>
    <n v="6"/>
    <n v="17041"/>
    <n v="102246"/>
    <x v="0"/>
    <x v="2"/>
  </r>
  <r>
    <m/>
    <x v="88"/>
    <x v="0"/>
    <x v="3"/>
    <n v="9"/>
    <n v="85766"/>
    <n v="771894"/>
    <x v="4"/>
    <x v="0"/>
  </r>
  <r>
    <m/>
    <x v="89"/>
    <x v="3"/>
    <x v="5"/>
    <n v="6"/>
    <n v="67861"/>
    <n v="407166"/>
    <x v="1"/>
    <x v="2"/>
  </r>
  <r>
    <m/>
    <x v="4"/>
    <x v="0"/>
    <x v="0"/>
    <n v="6"/>
    <n v="10921"/>
    <n v="65526"/>
    <x v="5"/>
    <x v="0"/>
  </r>
  <r>
    <m/>
    <x v="90"/>
    <x v="3"/>
    <x v="1"/>
    <n v="6"/>
    <n v="41179"/>
    <n v="247074"/>
    <x v="7"/>
    <x v="2"/>
  </r>
  <r>
    <m/>
    <x v="91"/>
    <x v="0"/>
    <x v="4"/>
    <n v="3"/>
    <n v="20909"/>
    <n v="62727"/>
    <x v="2"/>
    <x v="0"/>
  </r>
  <r>
    <m/>
    <x v="92"/>
    <x v="0"/>
    <x v="1"/>
    <n v="6"/>
    <n v="34082"/>
    <n v="204492"/>
    <x v="8"/>
    <x v="1"/>
  </r>
  <r>
    <m/>
    <x v="60"/>
    <x v="0"/>
    <x v="4"/>
    <n v="6"/>
    <n v="20909"/>
    <n v="125454"/>
    <x v="6"/>
    <x v="1"/>
  </r>
  <r>
    <m/>
    <x v="93"/>
    <x v="0"/>
    <x v="2"/>
    <n v="10"/>
    <n v="3629"/>
    <n v="36290"/>
    <x v="5"/>
    <x v="2"/>
  </r>
  <r>
    <m/>
    <x v="94"/>
    <x v="1"/>
    <x v="4"/>
    <n v="6"/>
    <n v="78574"/>
    <n v="471444"/>
    <x v="1"/>
    <x v="0"/>
  </r>
  <r>
    <m/>
    <x v="95"/>
    <x v="3"/>
    <x v="0"/>
    <n v="4"/>
    <n v="25936"/>
    <n v="103744"/>
    <x v="2"/>
    <x v="2"/>
  </r>
  <r>
    <m/>
    <x v="96"/>
    <x v="3"/>
    <x v="0"/>
    <n v="6"/>
    <n v="10921"/>
    <n v="65526"/>
    <x v="2"/>
    <x v="0"/>
  </r>
  <r>
    <m/>
    <x v="61"/>
    <x v="2"/>
    <x v="4"/>
    <n v="9"/>
    <n v="20909"/>
    <n v="188181"/>
    <x v="1"/>
    <x v="0"/>
  </r>
  <r>
    <m/>
    <x v="97"/>
    <x v="3"/>
    <x v="0"/>
    <n v="6"/>
    <n v="10921"/>
    <n v="65526"/>
    <x v="0"/>
    <x v="2"/>
  </r>
  <r>
    <m/>
    <x v="92"/>
    <x v="2"/>
    <x v="4"/>
    <n v="6"/>
    <n v="49346"/>
    <n v="296076"/>
    <x v="4"/>
    <x v="2"/>
  </r>
  <r>
    <m/>
    <x v="98"/>
    <x v="0"/>
    <x v="3"/>
    <n v="6"/>
    <n v="56378"/>
    <n v="338268"/>
    <x v="8"/>
    <x v="2"/>
  </r>
  <r>
    <m/>
    <x v="99"/>
    <x v="0"/>
    <x v="2"/>
    <n v="7"/>
    <n v="3629"/>
    <n v="25403"/>
    <x v="2"/>
    <x v="1"/>
  </r>
  <r>
    <m/>
    <x v="29"/>
    <x v="3"/>
    <x v="1"/>
    <n v="3"/>
    <n v="34082"/>
    <n v="102246"/>
    <x v="6"/>
    <x v="1"/>
  </r>
  <r>
    <m/>
    <x v="67"/>
    <x v="3"/>
    <x v="5"/>
    <n v="6"/>
    <n v="26694"/>
    <n v="160164"/>
    <x v="9"/>
    <x v="2"/>
  </r>
  <r>
    <m/>
    <x v="100"/>
    <x v="1"/>
    <x v="1"/>
    <n v="6"/>
    <n v="8624"/>
    <n v="51744"/>
    <x v="7"/>
    <x v="1"/>
  </r>
  <r>
    <m/>
    <x v="101"/>
    <x v="3"/>
    <x v="3"/>
    <n v="6"/>
    <n v="77730"/>
    <n v="466380"/>
    <x v="2"/>
    <x v="2"/>
  </r>
  <r>
    <m/>
    <x v="102"/>
    <x v="0"/>
    <x v="2"/>
    <n v="2"/>
    <n v="3629"/>
    <n v="7258"/>
    <x v="4"/>
    <x v="2"/>
  </r>
  <r>
    <m/>
    <x v="103"/>
    <x v="3"/>
    <x v="0"/>
    <n v="6"/>
    <n v="58867"/>
    <n v="353202"/>
    <x v="9"/>
    <x v="2"/>
  </r>
  <r>
    <m/>
    <x v="37"/>
    <x v="0"/>
    <x v="1"/>
    <n v="6"/>
    <n v="41460"/>
    <n v="248760"/>
    <x v="3"/>
    <x v="2"/>
  </r>
  <r>
    <m/>
    <x v="104"/>
    <x v="3"/>
    <x v="5"/>
    <n v="6"/>
    <n v="54007"/>
    <n v="324042"/>
    <x v="7"/>
    <x v="0"/>
  </r>
  <r>
    <m/>
    <x v="105"/>
    <x v="1"/>
    <x v="2"/>
    <n v="3"/>
    <n v="3629"/>
    <n v="10887"/>
    <x v="8"/>
    <x v="0"/>
  </r>
  <r>
    <m/>
    <x v="8"/>
    <x v="1"/>
    <x v="0"/>
    <n v="4"/>
    <n v="4519"/>
    <n v="18076"/>
    <x v="2"/>
    <x v="2"/>
  </r>
  <r>
    <m/>
    <x v="106"/>
    <x v="3"/>
    <x v="0"/>
    <n v="5"/>
    <n v="10921"/>
    <n v="54605"/>
    <x v="5"/>
    <x v="1"/>
  </r>
  <r>
    <m/>
    <x v="107"/>
    <x v="1"/>
    <x v="0"/>
    <n v="6"/>
    <n v="59243"/>
    <n v="355458"/>
    <x v="3"/>
    <x v="2"/>
  </r>
  <r>
    <m/>
    <x v="108"/>
    <x v="3"/>
    <x v="2"/>
    <n v="2"/>
    <n v="70674"/>
    <n v="141348"/>
    <x v="3"/>
    <x v="0"/>
  </r>
  <r>
    <m/>
    <x v="109"/>
    <x v="3"/>
    <x v="2"/>
    <n v="2"/>
    <n v="3629"/>
    <n v="7258"/>
    <x v="1"/>
    <x v="2"/>
  </r>
  <r>
    <m/>
    <x v="99"/>
    <x v="0"/>
    <x v="0"/>
    <n v="6"/>
    <n v="35128"/>
    <n v="210768"/>
    <x v="1"/>
    <x v="2"/>
  </r>
  <r>
    <m/>
    <x v="110"/>
    <x v="3"/>
    <x v="3"/>
    <n v="6"/>
    <n v="30968"/>
    <n v="185808"/>
    <x v="3"/>
    <x v="2"/>
  </r>
  <r>
    <m/>
    <x v="8"/>
    <x v="1"/>
    <x v="0"/>
    <n v="6"/>
    <n v="10921"/>
    <n v="65526"/>
    <x v="0"/>
    <x v="1"/>
  </r>
  <r>
    <m/>
    <x v="111"/>
    <x v="0"/>
    <x v="0"/>
    <n v="9"/>
    <n v="10921"/>
    <n v="98289"/>
    <x v="6"/>
    <x v="0"/>
  </r>
  <r>
    <m/>
    <x v="112"/>
    <x v="3"/>
    <x v="1"/>
    <n v="6"/>
    <n v="34082"/>
    <n v="204492"/>
    <x v="6"/>
    <x v="2"/>
  </r>
  <r>
    <m/>
    <x v="113"/>
    <x v="0"/>
    <x v="2"/>
    <n v="6"/>
    <n v="16048"/>
    <n v="96288"/>
    <x v="1"/>
    <x v="2"/>
  </r>
  <r>
    <m/>
    <x v="114"/>
    <x v="0"/>
    <x v="5"/>
    <n v="6"/>
    <n v="26694"/>
    <n v="160164"/>
    <x v="2"/>
    <x v="0"/>
  </r>
  <r>
    <m/>
    <x v="98"/>
    <x v="3"/>
    <x v="5"/>
    <n v="6"/>
    <n v="26694"/>
    <n v="160164"/>
    <x v="0"/>
    <x v="0"/>
  </r>
  <r>
    <m/>
    <x v="115"/>
    <x v="3"/>
    <x v="0"/>
    <n v="8"/>
    <n v="49642"/>
    <n v="397136"/>
    <x v="5"/>
    <x v="2"/>
  </r>
  <r>
    <m/>
    <x v="116"/>
    <x v="3"/>
    <x v="2"/>
    <n v="6"/>
    <n v="3629"/>
    <n v="21774"/>
    <x v="1"/>
    <x v="1"/>
  </r>
  <r>
    <m/>
    <x v="111"/>
    <x v="0"/>
    <x v="3"/>
    <n v="6"/>
    <n v="30968"/>
    <n v="185808"/>
    <x v="5"/>
    <x v="0"/>
  </r>
  <r>
    <m/>
    <x v="98"/>
    <x v="3"/>
    <x v="3"/>
    <n v="6"/>
    <n v="48220"/>
    <n v="289320"/>
    <x v="9"/>
    <x v="0"/>
  </r>
  <r>
    <m/>
    <x v="18"/>
    <x v="0"/>
    <x v="4"/>
    <n v="8"/>
    <n v="37708"/>
    <n v="301664"/>
    <x v="6"/>
    <x v="2"/>
  </r>
  <r>
    <m/>
    <x v="117"/>
    <x v="0"/>
    <x v="5"/>
    <n v="4"/>
    <n v="26694"/>
    <n v="106776"/>
    <x v="9"/>
    <x v="1"/>
  </r>
  <r>
    <m/>
    <x v="118"/>
    <x v="3"/>
    <x v="3"/>
    <n v="6"/>
    <n v="30968"/>
    <n v="185808"/>
    <x v="0"/>
    <x v="0"/>
  </r>
  <r>
    <m/>
    <x v="119"/>
    <x v="0"/>
    <x v="4"/>
    <n v="1"/>
    <n v="20909"/>
    <n v="20909"/>
    <x v="7"/>
    <x v="0"/>
  </r>
  <r>
    <m/>
    <x v="23"/>
    <x v="2"/>
    <x v="0"/>
    <n v="6"/>
    <n v="71417"/>
    <n v="428502"/>
    <x v="6"/>
    <x v="0"/>
  </r>
  <r>
    <m/>
    <x v="46"/>
    <x v="0"/>
    <x v="0"/>
    <n v="6"/>
    <n v="10921"/>
    <n v="65526"/>
    <x v="0"/>
    <x v="2"/>
  </r>
  <r>
    <m/>
    <x v="120"/>
    <x v="0"/>
    <x v="3"/>
    <n v="6"/>
    <n v="30968"/>
    <n v="185808"/>
    <x v="2"/>
    <x v="0"/>
  </r>
  <r>
    <m/>
    <x v="121"/>
    <x v="3"/>
    <x v="3"/>
    <n v="7"/>
    <n v="30968"/>
    <n v="216776"/>
    <x v="7"/>
    <x v="0"/>
  </r>
  <r>
    <m/>
    <x v="122"/>
    <x v="3"/>
    <x v="3"/>
    <n v="10"/>
    <n v="72606"/>
    <n v="726060"/>
    <x v="3"/>
    <x v="2"/>
  </r>
  <r>
    <m/>
    <x v="123"/>
    <x v="1"/>
    <x v="4"/>
    <n v="6"/>
    <n v="20909"/>
    <n v="125454"/>
    <x v="7"/>
    <x v="1"/>
  </r>
  <r>
    <m/>
    <x v="6"/>
    <x v="0"/>
    <x v="4"/>
    <n v="6"/>
    <n v="37038"/>
    <n v="222228"/>
    <x v="4"/>
    <x v="0"/>
  </r>
  <r>
    <m/>
    <x v="114"/>
    <x v="2"/>
    <x v="4"/>
    <n v="8"/>
    <n v="60993"/>
    <n v="487944"/>
    <x v="8"/>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1000"/>
    <d v="2024-02-06T00:00:00"/>
    <s v="Feb - 2024"/>
    <x v="0"/>
    <x v="0"/>
    <n v="8"/>
    <n v="5934"/>
    <n v="47472"/>
    <x v="0"/>
    <x v="0"/>
  </r>
  <r>
    <s v="O1001"/>
    <d v="2024-12-05T00:00:00"/>
    <s v="Dec - 2024"/>
    <x v="0"/>
    <x v="1"/>
    <n v="6"/>
    <n v="43999"/>
    <n v="263994"/>
    <x v="1"/>
    <x v="0"/>
  </r>
  <r>
    <s v="O1002"/>
    <d v="2024-02-28T00:00:00"/>
    <s v="Feb - 2024"/>
    <x v="1"/>
    <x v="1"/>
    <n v="6"/>
    <n v="200000"/>
    <n v="1200000"/>
    <x v="2"/>
    <x v="0"/>
  </r>
  <r>
    <s v="O1003"/>
    <d v="2024-12-10T00:00:00"/>
    <s v="Dec - 2024"/>
    <x v="2"/>
    <x v="2"/>
    <n v="6"/>
    <n v="34203"/>
    <n v="205218"/>
    <x v="3"/>
    <x v="1"/>
  </r>
  <r>
    <s v="O1005"/>
    <d v="2024-02-06T00:00:00"/>
    <s v="Feb - 2024"/>
    <x v="3"/>
    <x v="3"/>
    <n v="2"/>
    <n v="7844"/>
    <n v="15688"/>
    <x v="3"/>
    <x v="2"/>
  </r>
  <r>
    <s v="O1006"/>
    <d v="2024-06-22T00:00:00"/>
    <s v="Jun - 2024"/>
    <x v="3"/>
    <x v="2"/>
    <n v="6"/>
    <n v="25014"/>
    <n v="150084"/>
    <x v="4"/>
    <x v="1"/>
  </r>
  <r>
    <s v="O1008"/>
    <d v="2024-03-31T00:00:00"/>
    <s v="Mar - 2024"/>
    <x v="2"/>
    <x v="4"/>
    <n v="6"/>
    <n v="70603"/>
    <n v="423618"/>
    <x v="5"/>
    <x v="0"/>
  </r>
  <r>
    <s v="O1009"/>
    <d v="2024-02-20T00:00:00"/>
    <s v="Feb - 2024"/>
    <x v="0"/>
    <x v="2"/>
    <n v="7"/>
    <n v="3629"/>
    <n v="25403"/>
    <x v="5"/>
    <x v="2"/>
  </r>
  <r>
    <s v="O1011"/>
    <d v="2024-11-07T00:00:00"/>
    <s v="Nov - 2024"/>
    <x v="0"/>
    <x v="2"/>
    <n v="6"/>
    <n v="52770"/>
    <n v="316620"/>
    <x v="5"/>
    <x v="2"/>
  </r>
  <r>
    <s v="O1012"/>
    <d v="2024-01-19T00:00:00"/>
    <s v="Jan - 2024"/>
    <x v="3"/>
    <x v="4"/>
    <n v="7"/>
    <n v="5922"/>
    <n v="41454"/>
    <x v="5"/>
    <x v="0"/>
  </r>
  <r>
    <s v="O1013"/>
    <d v="2024-12-17T00:00:00"/>
    <s v="Dec - 2024"/>
    <x v="3"/>
    <x v="1"/>
    <n v="7"/>
    <n v="34082"/>
    <n v="238574"/>
    <x v="4"/>
    <x v="2"/>
  </r>
  <r>
    <s v="O1014"/>
    <d v="2024-11-20T00:00:00"/>
    <s v="Nov - 2024"/>
    <x v="2"/>
    <x v="1"/>
    <n v="10"/>
    <n v="34082"/>
    <n v="340820"/>
    <x v="5"/>
    <x v="1"/>
  </r>
  <r>
    <s v="O1015"/>
    <d v="2024-07-17T00:00:00"/>
    <s v="Jul - 2024"/>
    <x v="3"/>
    <x v="0"/>
    <n v="6"/>
    <n v="79951"/>
    <n v="479706"/>
    <x v="2"/>
    <x v="1"/>
  </r>
  <r>
    <s v="O1016"/>
    <d v="2024-07-04T00:00:00"/>
    <s v="Jul - 2024"/>
    <x v="3"/>
    <x v="0"/>
    <n v="4"/>
    <n v="10921"/>
    <n v="43684"/>
    <x v="0"/>
    <x v="0"/>
  </r>
  <r>
    <s v="O1017"/>
    <d v="2024-06-09T00:00:00"/>
    <s v="Jun - 2024"/>
    <x v="1"/>
    <x v="5"/>
    <n v="6"/>
    <n v="30676"/>
    <n v="184056"/>
    <x v="1"/>
    <x v="0"/>
  </r>
  <r>
    <s v="O1019"/>
    <d v="2024-02-16T00:00:00"/>
    <s v="Feb - 2024"/>
    <x v="2"/>
    <x v="4"/>
    <n v="6"/>
    <n v="68641"/>
    <n v="411846"/>
    <x v="6"/>
    <x v="0"/>
  </r>
  <r>
    <s v="O1020"/>
    <d v="2024-06-27T00:00:00"/>
    <s v="Jun - 2024"/>
    <x v="2"/>
    <x v="0"/>
    <n v="6"/>
    <n v="10921"/>
    <n v="65526"/>
    <x v="7"/>
    <x v="0"/>
  </r>
  <r>
    <s v="O1021"/>
    <d v="2024-08-23T00:00:00"/>
    <s v="Aug - 2024"/>
    <x v="3"/>
    <x v="2"/>
    <n v="6"/>
    <n v="7315"/>
    <n v="43890"/>
    <x v="5"/>
    <x v="2"/>
  </r>
  <r>
    <s v="O1022"/>
    <d v="2024-03-14T00:00:00"/>
    <s v="Mar - 2024"/>
    <x v="0"/>
    <x v="4"/>
    <n v="6"/>
    <n v="35896"/>
    <n v="215376"/>
    <x v="0"/>
    <x v="0"/>
  </r>
  <r>
    <s v="O1023"/>
    <d v="2024-11-29T00:00:00"/>
    <s v="Nov - 2024"/>
    <x v="0"/>
    <x v="3"/>
    <n v="6"/>
    <n v="32343"/>
    <n v="194058"/>
    <x v="5"/>
    <x v="2"/>
  </r>
  <r>
    <s v="O1024"/>
    <d v="2024-01-20T00:00:00"/>
    <s v="Jan - 2024"/>
    <x v="0"/>
    <x v="2"/>
    <n v="6"/>
    <n v="17900"/>
    <n v="107400"/>
    <x v="6"/>
    <x v="1"/>
  </r>
  <r>
    <s v="O1025"/>
    <d v="2024-09-24T00:00:00"/>
    <s v="Sep - 2024"/>
    <x v="0"/>
    <x v="2"/>
    <n v="6"/>
    <n v="3629"/>
    <n v="21774"/>
    <x v="8"/>
    <x v="2"/>
  </r>
  <r>
    <s v="O1027"/>
    <d v="2024-12-25T00:00:00"/>
    <s v="Dec - 2024"/>
    <x v="2"/>
    <x v="0"/>
    <n v="6"/>
    <n v="5342"/>
    <n v="32052"/>
    <x v="3"/>
    <x v="1"/>
  </r>
  <r>
    <s v="O1028"/>
    <d v="2024-08-11T00:00:00"/>
    <s v="Aug - 2024"/>
    <x v="0"/>
    <x v="5"/>
    <n v="1"/>
    <n v="150000"/>
    <n v="150000"/>
    <x v="7"/>
    <x v="0"/>
  </r>
  <r>
    <s v="O1029"/>
    <d v="2024-09-20T00:00:00"/>
    <s v="Sep - 2024"/>
    <x v="0"/>
    <x v="2"/>
    <n v="5"/>
    <n v="300000"/>
    <n v="1500000"/>
    <x v="6"/>
    <x v="2"/>
  </r>
  <r>
    <s v="O1030"/>
    <d v="2024-05-03T00:00:00"/>
    <s v="May - 2024"/>
    <x v="0"/>
    <x v="5"/>
    <n v="6"/>
    <n v="18344"/>
    <n v="110064"/>
    <x v="3"/>
    <x v="2"/>
  </r>
  <r>
    <s v="O1031"/>
    <d v="2024-11-20T00:00:00"/>
    <s v="Nov - 2024"/>
    <x v="1"/>
    <x v="0"/>
    <n v="6"/>
    <n v="38646"/>
    <n v="231876"/>
    <x v="8"/>
    <x v="2"/>
  </r>
  <r>
    <s v="O1032"/>
    <d v="2024-07-18T00:00:00"/>
    <s v="Jul - 2024"/>
    <x v="3"/>
    <x v="2"/>
    <n v="6"/>
    <n v="11718"/>
    <n v="70308"/>
    <x v="2"/>
    <x v="0"/>
  </r>
  <r>
    <s v="O1033"/>
    <d v="2024-08-06T00:00:00"/>
    <s v="Aug - 2024"/>
    <x v="1"/>
    <x v="0"/>
    <n v="6"/>
    <n v="42183"/>
    <n v="253098"/>
    <x v="4"/>
    <x v="0"/>
  </r>
  <r>
    <s v="O1034"/>
    <d v="2024-05-06T00:00:00"/>
    <s v="May - 2024"/>
    <x v="1"/>
    <x v="2"/>
    <n v="6"/>
    <n v="3629"/>
    <n v="21774"/>
    <x v="3"/>
    <x v="0"/>
  </r>
  <r>
    <s v="O1035"/>
    <d v="2024-12-30T00:00:00"/>
    <s v="Dec - 2024"/>
    <x v="1"/>
    <x v="5"/>
    <n v="3"/>
    <n v="11490"/>
    <n v="34470"/>
    <x v="3"/>
    <x v="0"/>
  </r>
  <r>
    <s v="O1036"/>
    <d v="2024-10-30T00:00:00"/>
    <s v="Oct - 2024"/>
    <x v="0"/>
    <x v="3"/>
    <n v="1"/>
    <n v="74536"/>
    <n v="74536"/>
    <x v="3"/>
    <x v="0"/>
  </r>
  <r>
    <s v="O1037"/>
    <d v="2024-01-23T00:00:00"/>
    <s v="Jan - 2024"/>
    <x v="3"/>
    <x v="2"/>
    <n v="6"/>
    <n v="66002"/>
    <n v="396012"/>
    <x v="8"/>
    <x v="0"/>
  </r>
  <r>
    <s v="O1038"/>
    <d v="2024-09-23T00:00:00"/>
    <s v="Sep - 2024"/>
    <x v="0"/>
    <x v="5"/>
    <n v="9"/>
    <n v="85185"/>
    <n v="766665"/>
    <x v="8"/>
    <x v="1"/>
  </r>
  <r>
    <s v="O1039"/>
    <d v="2024-04-15T00:00:00"/>
    <s v="Apr - 2024"/>
    <x v="2"/>
    <x v="0"/>
    <n v="3"/>
    <n v="10921"/>
    <n v="32763"/>
    <x v="8"/>
    <x v="2"/>
  </r>
  <r>
    <s v="O1041"/>
    <d v="2024-06-18T00:00:00"/>
    <s v="Jun - 2024"/>
    <x v="1"/>
    <x v="2"/>
    <n v="6"/>
    <n v="3629"/>
    <n v="21774"/>
    <x v="8"/>
    <x v="0"/>
  </r>
  <r>
    <s v="O1042"/>
    <d v="2024-02-29T00:00:00"/>
    <s v="Feb - 2024"/>
    <x v="1"/>
    <x v="0"/>
    <n v="1"/>
    <n v="10921"/>
    <n v="10921"/>
    <x v="2"/>
    <x v="0"/>
  </r>
  <r>
    <s v="O1046"/>
    <d v="2024-09-15T00:00:00"/>
    <s v="Sep - 2024"/>
    <x v="1"/>
    <x v="2"/>
    <n v="6"/>
    <n v="23722"/>
    <n v="142332"/>
    <x v="9"/>
    <x v="2"/>
  </r>
  <r>
    <s v="O1047"/>
    <d v="2024-06-05T00:00:00"/>
    <s v="Jun - 2024"/>
    <x v="3"/>
    <x v="3"/>
    <n v="6"/>
    <n v="30968"/>
    <n v="185808"/>
    <x v="0"/>
    <x v="1"/>
  </r>
  <r>
    <s v="O1048"/>
    <d v="2024-01-03T00:00:00"/>
    <s v="Jan - 2024"/>
    <x v="0"/>
    <x v="2"/>
    <n v="6"/>
    <n v="12485"/>
    <n v="74910"/>
    <x v="3"/>
    <x v="2"/>
  </r>
  <r>
    <s v="O1049"/>
    <d v="2024-05-19T00:00:00"/>
    <s v="May - 2024"/>
    <x v="0"/>
    <x v="4"/>
    <n v="6"/>
    <n v="20909"/>
    <n v="125454"/>
    <x v="4"/>
    <x v="0"/>
  </r>
  <r>
    <s v="O1050"/>
    <d v="2024-10-03T00:00:00"/>
    <s v="Oct - 2024"/>
    <x v="1"/>
    <x v="1"/>
    <n v="6"/>
    <n v="48612"/>
    <n v="291672"/>
    <x v="9"/>
    <x v="1"/>
  </r>
  <r>
    <s v="O1051"/>
    <d v="2024-04-16T00:00:00"/>
    <s v="Apr - 2024"/>
    <x v="1"/>
    <x v="0"/>
    <n v="6"/>
    <n v="46616"/>
    <n v="279696"/>
    <x v="4"/>
    <x v="2"/>
  </r>
  <r>
    <s v="O1053"/>
    <d v="2024-12-28T00:00:00"/>
    <s v="Dec - 2024"/>
    <x v="3"/>
    <x v="4"/>
    <n v="6"/>
    <n v="72323"/>
    <n v="433938"/>
    <x v="2"/>
    <x v="2"/>
  </r>
  <r>
    <s v="O1055"/>
    <d v="2024-10-02T00:00:00"/>
    <s v="Oct - 2024"/>
    <x v="2"/>
    <x v="0"/>
    <n v="1"/>
    <n v="63449"/>
    <n v="63449"/>
    <x v="3"/>
    <x v="0"/>
  </r>
  <r>
    <s v="O1056"/>
    <d v="2024-03-15T00:00:00"/>
    <s v="Mar - 2024"/>
    <x v="0"/>
    <x v="2"/>
    <n v="9"/>
    <n v="60885"/>
    <n v="547965"/>
    <x v="9"/>
    <x v="2"/>
  </r>
  <r>
    <s v="O1058"/>
    <d v="2024-07-11T00:00:00"/>
    <s v="Jul - 2024"/>
    <x v="0"/>
    <x v="0"/>
    <n v="6"/>
    <n v="10921"/>
    <n v="65526"/>
    <x v="4"/>
    <x v="2"/>
  </r>
  <r>
    <s v="O1060"/>
    <d v="2024-11-27T00:00:00"/>
    <s v="Nov - 2024"/>
    <x v="3"/>
    <x v="4"/>
    <n v="6"/>
    <n v="20909"/>
    <n v="125454"/>
    <x v="9"/>
    <x v="2"/>
  </r>
  <r>
    <s v="O1061"/>
    <d v="2024-09-08T00:00:00"/>
    <s v="Sep - 2024"/>
    <x v="3"/>
    <x v="5"/>
    <n v="8"/>
    <n v="79027"/>
    <n v="632216"/>
    <x v="8"/>
    <x v="2"/>
  </r>
  <r>
    <s v="O1063"/>
    <d v="2024-08-30T00:00:00"/>
    <s v="Aug - 2024"/>
    <x v="3"/>
    <x v="2"/>
    <n v="6"/>
    <n v="24904"/>
    <n v="149424"/>
    <x v="1"/>
    <x v="0"/>
  </r>
  <r>
    <s v="O1064"/>
    <d v="2024-05-10T00:00:00"/>
    <s v="May - 2024"/>
    <x v="3"/>
    <x v="4"/>
    <n v="8"/>
    <n v="20909"/>
    <n v="167272"/>
    <x v="5"/>
    <x v="1"/>
  </r>
  <r>
    <s v="O1069"/>
    <d v="2024-07-24T00:00:00"/>
    <s v="Jul - 2024"/>
    <x v="0"/>
    <x v="4"/>
    <n v="6"/>
    <n v="74302"/>
    <n v="445812"/>
    <x v="0"/>
    <x v="0"/>
  </r>
  <r>
    <s v="O1070"/>
    <d v="2024-01-14T00:00:00"/>
    <s v="Jan - 2024"/>
    <x v="3"/>
    <x v="2"/>
    <n v="6"/>
    <n v="75735"/>
    <n v="454410"/>
    <x v="5"/>
    <x v="2"/>
  </r>
  <r>
    <s v="O1072"/>
    <d v="2024-02-15T00:00:00"/>
    <s v="Feb - 2024"/>
    <x v="0"/>
    <x v="3"/>
    <n v="7"/>
    <n v="77702"/>
    <n v="543914"/>
    <x v="4"/>
    <x v="2"/>
  </r>
  <r>
    <s v="O1073"/>
    <d v="2024-04-07T00:00:00"/>
    <s v="Apr - 2024"/>
    <x v="2"/>
    <x v="4"/>
    <n v="9"/>
    <n v="20909"/>
    <n v="188181"/>
    <x v="8"/>
    <x v="2"/>
  </r>
  <r>
    <s v="O1074"/>
    <d v="2024-08-12T00:00:00"/>
    <s v="Aug - 2024"/>
    <x v="3"/>
    <x v="1"/>
    <n v="6"/>
    <n v="34082"/>
    <n v="204492"/>
    <x v="6"/>
    <x v="2"/>
  </r>
  <r>
    <s v="O1075"/>
    <d v="2024-02-01T00:00:00"/>
    <s v="Feb - 2024"/>
    <x v="3"/>
    <x v="3"/>
    <n v="6"/>
    <n v="30968"/>
    <n v="185808"/>
    <x v="7"/>
    <x v="0"/>
  </r>
  <r>
    <s v="O1078"/>
    <d v="2024-09-20T00:00:00"/>
    <s v="Sep - 2024"/>
    <x v="3"/>
    <x v="1"/>
    <n v="6"/>
    <n v="69195"/>
    <n v="415170"/>
    <x v="0"/>
    <x v="0"/>
  </r>
  <r>
    <s v="O1079"/>
    <d v="2024-11-02T00:00:00"/>
    <s v="Nov - 2024"/>
    <x v="2"/>
    <x v="4"/>
    <n v="6"/>
    <n v="20909"/>
    <n v="125454"/>
    <x v="7"/>
    <x v="0"/>
  </r>
  <r>
    <s v="O1080"/>
    <d v="2024-03-10T00:00:00"/>
    <s v="Mar - 2024"/>
    <x v="1"/>
    <x v="3"/>
    <n v="7"/>
    <n v="30968"/>
    <n v="216776"/>
    <x v="2"/>
    <x v="0"/>
  </r>
  <r>
    <s v="O1082"/>
    <d v="2024-08-17T00:00:00"/>
    <s v="Aug - 2024"/>
    <x v="0"/>
    <x v="4"/>
    <n v="5"/>
    <n v="37006"/>
    <n v="185030"/>
    <x v="1"/>
    <x v="0"/>
  </r>
  <r>
    <s v="O1083"/>
    <d v="2024-04-12T00:00:00"/>
    <s v="Apr - 2024"/>
    <x v="2"/>
    <x v="3"/>
    <n v="7"/>
    <n v="59359"/>
    <n v="415513"/>
    <x v="0"/>
    <x v="1"/>
  </r>
  <r>
    <s v="O1084"/>
    <d v="2024-02-18T00:00:00"/>
    <s v="Feb - 2024"/>
    <x v="0"/>
    <x v="3"/>
    <n v="4"/>
    <n v="43313"/>
    <n v="173252"/>
    <x v="1"/>
    <x v="0"/>
  </r>
  <r>
    <s v="O1086"/>
    <d v="2024-10-05T00:00:00"/>
    <s v="Oct - 2024"/>
    <x v="3"/>
    <x v="2"/>
    <n v="1"/>
    <n v="3629"/>
    <n v="3629"/>
    <x v="8"/>
    <x v="2"/>
  </r>
  <r>
    <s v="O1087"/>
    <d v="2024-01-02T00:00:00"/>
    <s v="Jan - 2024"/>
    <x v="3"/>
    <x v="0"/>
    <n v="5"/>
    <n v="10921"/>
    <n v="54605"/>
    <x v="9"/>
    <x v="1"/>
  </r>
  <r>
    <s v="O1089"/>
    <d v="2024-02-27T00:00:00"/>
    <s v="Feb - 2024"/>
    <x v="0"/>
    <x v="1"/>
    <n v="4"/>
    <n v="44196"/>
    <n v="176784"/>
    <x v="1"/>
    <x v="2"/>
  </r>
  <r>
    <s v="O1090"/>
    <d v="2024-08-04T00:00:00"/>
    <s v="Aug - 2024"/>
    <x v="0"/>
    <x v="1"/>
    <n v="9"/>
    <n v="34082"/>
    <n v="306738"/>
    <x v="6"/>
    <x v="0"/>
  </r>
  <r>
    <s v="O1091"/>
    <d v="2024-03-22T00:00:00"/>
    <s v="Mar - 2024"/>
    <x v="3"/>
    <x v="3"/>
    <n v="6"/>
    <n v="81095"/>
    <n v="486570"/>
    <x v="0"/>
    <x v="2"/>
  </r>
  <r>
    <s v="O1092"/>
    <d v="2024-03-06T00:00:00"/>
    <s v="Mar - 2024"/>
    <x v="3"/>
    <x v="2"/>
    <n v="2"/>
    <n v="3629"/>
    <n v="7258"/>
    <x v="7"/>
    <x v="1"/>
  </r>
  <r>
    <s v="O1094"/>
    <d v="2024-09-25T00:00:00"/>
    <s v="Sep - 2024"/>
    <x v="3"/>
    <x v="3"/>
    <n v="6"/>
    <n v="30968"/>
    <n v="185808"/>
    <x v="0"/>
    <x v="0"/>
  </r>
  <r>
    <s v="O1095"/>
    <d v="2024-07-27T00:00:00"/>
    <s v="Jul - 2024"/>
    <x v="1"/>
    <x v="0"/>
    <n v="7"/>
    <n v="85651"/>
    <n v="599557"/>
    <x v="3"/>
    <x v="0"/>
  </r>
  <r>
    <s v="O1096"/>
    <d v="2024-06-19T00:00:00"/>
    <s v="Jun - 2024"/>
    <x v="3"/>
    <x v="3"/>
    <n v="6"/>
    <n v="30968"/>
    <n v="185808"/>
    <x v="4"/>
    <x v="2"/>
  </r>
  <r>
    <s v="O1097"/>
    <d v="2024-10-08T00:00:00"/>
    <s v="Oct - 2024"/>
    <x v="0"/>
    <x v="0"/>
    <n v="5"/>
    <n v="39344"/>
    <n v="196720"/>
    <x v="4"/>
    <x v="2"/>
  </r>
  <r>
    <s v="O1098"/>
    <d v="2024-07-28T00:00:00"/>
    <s v="Jul - 2024"/>
    <x v="0"/>
    <x v="2"/>
    <n v="7"/>
    <n v="3629"/>
    <n v="25403"/>
    <x v="8"/>
    <x v="0"/>
  </r>
  <r>
    <s v="O1100"/>
    <d v="2024-06-10T00:00:00"/>
    <s v="Jun - 2024"/>
    <x v="3"/>
    <x v="2"/>
    <n v="4"/>
    <n v="3629"/>
    <n v="14516"/>
    <x v="1"/>
    <x v="2"/>
  </r>
  <r>
    <m/>
    <d v="2024-06-28T00:00:00"/>
    <s v="Jun - 2024"/>
    <x v="2"/>
    <x v="4"/>
    <n v="9"/>
    <n v="20909"/>
    <n v="188181"/>
    <x v="7"/>
    <x v="2"/>
  </r>
  <r>
    <m/>
    <d v="2024-08-17T00:00:00"/>
    <s v="Aug - 2024"/>
    <x v="1"/>
    <x v="1"/>
    <n v="6"/>
    <n v="69467"/>
    <n v="416802"/>
    <x v="8"/>
    <x v="2"/>
  </r>
  <r>
    <m/>
    <d v="2024-09-25T00:00:00"/>
    <s v="Sep - 2024"/>
    <x v="3"/>
    <x v="3"/>
    <n v="1"/>
    <n v="30968"/>
    <n v="30968"/>
    <x v="8"/>
    <x v="0"/>
  </r>
  <r>
    <m/>
    <d v="2024-09-04T00:00:00"/>
    <s v="Sep - 2024"/>
    <x v="1"/>
    <x v="0"/>
    <n v="6"/>
    <n v="42245"/>
    <n v="253470"/>
    <x v="4"/>
    <x v="0"/>
  </r>
  <r>
    <m/>
    <d v="2024-02-14T00:00:00"/>
    <s v="Feb - 2024"/>
    <x v="1"/>
    <x v="2"/>
    <n v="6"/>
    <n v="3629"/>
    <n v="21774"/>
    <x v="2"/>
    <x v="2"/>
  </r>
  <r>
    <m/>
    <d v="2024-12-15T00:00:00"/>
    <s v="Dec - 2024"/>
    <x v="3"/>
    <x v="3"/>
    <n v="10"/>
    <n v="30968"/>
    <n v="309680"/>
    <x v="9"/>
    <x v="1"/>
  </r>
  <r>
    <m/>
    <d v="2024-02-04T00:00:00"/>
    <s v="Feb - 2024"/>
    <x v="3"/>
    <x v="2"/>
    <n v="6"/>
    <n v="3629"/>
    <n v="21774"/>
    <x v="3"/>
    <x v="1"/>
  </r>
  <r>
    <m/>
    <d v="2024-01-20T00:00:00"/>
    <s v="Jan - 2024"/>
    <x v="3"/>
    <x v="5"/>
    <n v="6"/>
    <n v="22712"/>
    <n v="136272"/>
    <x v="5"/>
    <x v="2"/>
  </r>
  <r>
    <m/>
    <d v="2024-04-07T00:00:00"/>
    <s v="Apr - 2024"/>
    <x v="0"/>
    <x v="3"/>
    <n v="6"/>
    <n v="51317"/>
    <n v="307902"/>
    <x v="6"/>
    <x v="0"/>
  </r>
  <r>
    <m/>
    <d v="2024-05-28T00:00:00"/>
    <s v="May - 2024"/>
    <x v="1"/>
    <x v="2"/>
    <n v="6"/>
    <n v="29216"/>
    <n v="175296"/>
    <x v="9"/>
    <x v="2"/>
  </r>
  <r>
    <m/>
    <d v="2024-04-01T00:00:00"/>
    <s v="Apr - 2024"/>
    <x v="0"/>
    <x v="1"/>
    <n v="6"/>
    <n v="34082"/>
    <n v="204492"/>
    <x v="1"/>
    <x v="0"/>
  </r>
  <r>
    <m/>
    <d v="2024-10-12T00:00:00"/>
    <s v="Oct - 2024"/>
    <x v="3"/>
    <x v="2"/>
    <n v="4"/>
    <n v="3509"/>
    <n v="14036"/>
    <x v="0"/>
    <x v="0"/>
  </r>
  <r>
    <m/>
    <d v="2024-01-15T00:00:00"/>
    <s v="Jan - 2024"/>
    <x v="3"/>
    <x v="2"/>
    <n v="6"/>
    <n v="76095"/>
    <n v="456570"/>
    <x v="9"/>
    <x v="1"/>
  </r>
  <r>
    <m/>
    <d v="2024-07-17T00:00:00"/>
    <s v="Jul - 2024"/>
    <x v="0"/>
    <x v="1"/>
    <n v="7"/>
    <n v="52219"/>
    <n v="365533"/>
    <x v="9"/>
    <x v="0"/>
  </r>
  <r>
    <m/>
    <d v="2024-11-03T00:00:00"/>
    <s v="Nov - 2024"/>
    <x v="3"/>
    <x v="5"/>
    <n v="9"/>
    <n v="39296"/>
    <n v="353664"/>
    <x v="8"/>
    <x v="2"/>
  </r>
  <r>
    <m/>
    <d v="2024-10-13T00:00:00"/>
    <s v="Oct - 2024"/>
    <x v="3"/>
    <x v="2"/>
    <n v="6"/>
    <n v="3629"/>
    <n v="21774"/>
    <x v="5"/>
    <x v="1"/>
  </r>
  <r>
    <m/>
    <d v="2024-11-30T00:00:00"/>
    <s v="Nov - 2024"/>
    <x v="1"/>
    <x v="5"/>
    <n v="6"/>
    <n v="26694"/>
    <n v="160164"/>
    <x v="6"/>
    <x v="2"/>
  </r>
  <r>
    <m/>
    <d v="2024-02-19T00:00:00"/>
    <s v="Feb - 2024"/>
    <x v="2"/>
    <x v="4"/>
    <n v="6"/>
    <n v="37711"/>
    <n v="226266"/>
    <x v="8"/>
    <x v="1"/>
  </r>
  <r>
    <m/>
    <d v="2024-06-16T00:00:00"/>
    <s v="Jun - 2024"/>
    <x v="0"/>
    <x v="1"/>
    <n v="6"/>
    <n v="12794"/>
    <n v="76764"/>
    <x v="8"/>
    <x v="2"/>
  </r>
  <r>
    <m/>
    <d v="2024-03-20T00:00:00"/>
    <s v="Mar - 2024"/>
    <x v="3"/>
    <x v="5"/>
    <n v="4"/>
    <n v="38501"/>
    <n v="154004"/>
    <x v="2"/>
    <x v="2"/>
  </r>
  <r>
    <m/>
    <d v="2024-09-01T00:00:00"/>
    <s v="Sep - 2024"/>
    <x v="0"/>
    <x v="0"/>
    <n v="6"/>
    <n v="17041"/>
    <n v="102246"/>
    <x v="0"/>
    <x v="2"/>
  </r>
  <r>
    <m/>
    <d v="2024-04-21T00:00:00"/>
    <s v="Apr - 2024"/>
    <x v="0"/>
    <x v="3"/>
    <n v="9"/>
    <n v="85766"/>
    <n v="771894"/>
    <x v="4"/>
    <x v="0"/>
  </r>
  <r>
    <m/>
    <d v="2024-05-24T00:00:00"/>
    <s v="May - 2024"/>
    <x v="3"/>
    <x v="5"/>
    <n v="6"/>
    <n v="67861"/>
    <n v="407166"/>
    <x v="1"/>
    <x v="2"/>
  </r>
  <r>
    <m/>
    <d v="2024-06-22T00:00:00"/>
    <s v="Jun - 2024"/>
    <x v="0"/>
    <x v="0"/>
    <n v="6"/>
    <n v="10921"/>
    <n v="65526"/>
    <x v="5"/>
    <x v="0"/>
  </r>
  <r>
    <m/>
    <d v="2024-01-31T00:00:00"/>
    <s v="Jan - 2024"/>
    <x v="3"/>
    <x v="1"/>
    <n v="6"/>
    <n v="41179"/>
    <n v="247074"/>
    <x v="7"/>
    <x v="2"/>
  </r>
  <r>
    <m/>
    <d v="2024-08-19T00:00:00"/>
    <s v="Aug - 2024"/>
    <x v="0"/>
    <x v="4"/>
    <n v="3"/>
    <n v="20909"/>
    <n v="62727"/>
    <x v="2"/>
    <x v="0"/>
  </r>
  <r>
    <m/>
    <d v="2024-11-10T00:00:00"/>
    <s v="Nov - 2024"/>
    <x v="0"/>
    <x v="1"/>
    <n v="6"/>
    <n v="34082"/>
    <n v="204492"/>
    <x v="8"/>
    <x v="1"/>
  </r>
  <r>
    <m/>
    <d v="2024-10-05T00:00:00"/>
    <s v="Oct - 2024"/>
    <x v="0"/>
    <x v="4"/>
    <n v="6"/>
    <n v="20909"/>
    <n v="125454"/>
    <x v="6"/>
    <x v="1"/>
  </r>
  <r>
    <m/>
    <d v="2024-03-19T00:00:00"/>
    <s v="Mar - 2024"/>
    <x v="0"/>
    <x v="2"/>
    <n v="10"/>
    <n v="3629"/>
    <n v="36290"/>
    <x v="5"/>
    <x v="2"/>
  </r>
  <r>
    <m/>
    <d v="2024-12-06T00:00:00"/>
    <s v="Dec - 2024"/>
    <x v="1"/>
    <x v="4"/>
    <n v="6"/>
    <n v="78574"/>
    <n v="471444"/>
    <x v="1"/>
    <x v="0"/>
  </r>
  <r>
    <m/>
    <d v="2024-02-25T00:00:00"/>
    <s v="Feb - 2024"/>
    <x v="3"/>
    <x v="0"/>
    <n v="4"/>
    <n v="25936"/>
    <n v="103744"/>
    <x v="2"/>
    <x v="2"/>
  </r>
  <r>
    <m/>
    <d v="2024-07-30T00:00:00"/>
    <s v="Jul - 2024"/>
    <x v="3"/>
    <x v="0"/>
    <n v="6"/>
    <n v="10921"/>
    <n v="65526"/>
    <x v="2"/>
    <x v="0"/>
  </r>
  <r>
    <m/>
    <d v="2024-01-02T00:00:00"/>
    <s v="Jan - 2024"/>
    <x v="2"/>
    <x v="4"/>
    <n v="9"/>
    <n v="20909"/>
    <n v="188181"/>
    <x v="1"/>
    <x v="0"/>
  </r>
  <r>
    <m/>
    <d v="2024-10-28T00:00:00"/>
    <s v="Oct - 2024"/>
    <x v="3"/>
    <x v="0"/>
    <n v="6"/>
    <n v="10921"/>
    <n v="65526"/>
    <x v="0"/>
    <x v="2"/>
  </r>
  <r>
    <m/>
    <d v="2024-11-10T00:00:00"/>
    <s v="Nov - 2024"/>
    <x v="2"/>
    <x v="4"/>
    <n v="6"/>
    <n v="49346"/>
    <n v="296076"/>
    <x v="4"/>
    <x v="2"/>
  </r>
  <r>
    <m/>
    <d v="2024-03-28T00:00:00"/>
    <s v="Mar - 2024"/>
    <x v="0"/>
    <x v="3"/>
    <n v="6"/>
    <n v="56378"/>
    <n v="338268"/>
    <x v="8"/>
    <x v="2"/>
  </r>
  <r>
    <m/>
    <d v="2024-04-26T00:00:00"/>
    <s v="Apr - 2024"/>
    <x v="0"/>
    <x v="2"/>
    <n v="7"/>
    <n v="3629"/>
    <n v="25403"/>
    <x v="2"/>
    <x v="1"/>
  </r>
  <r>
    <m/>
    <d v="2024-10-30T00:00:00"/>
    <s v="Oct - 2024"/>
    <x v="3"/>
    <x v="1"/>
    <n v="3"/>
    <n v="34082"/>
    <n v="102246"/>
    <x v="6"/>
    <x v="1"/>
  </r>
  <r>
    <m/>
    <d v="2024-07-27T00:00:00"/>
    <s v="Jul - 2024"/>
    <x v="3"/>
    <x v="5"/>
    <n v="6"/>
    <n v="26694"/>
    <n v="160164"/>
    <x v="9"/>
    <x v="2"/>
  </r>
  <r>
    <m/>
    <d v="2024-01-05T00:00:00"/>
    <s v="Jan - 2024"/>
    <x v="1"/>
    <x v="1"/>
    <n v="6"/>
    <n v="8624"/>
    <n v="51744"/>
    <x v="7"/>
    <x v="1"/>
  </r>
  <r>
    <m/>
    <d v="2024-10-14T00:00:00"/>
    <s v="Oct - 2024"/>
    <x v="3"/>
    <x v="3"/>
    <n v="6"/>
    <n v="77730"/>
    <n v="466380"/>
    <x v="2"/>
    <x v="2"/>
  </r>
  <r>
    <m/>
    <d v="2024-08-09T00:00:00"/>
    <s v="Aug - 2024"/>
    <x v="0"/>
    <x v="2"/>
    <n v="2"/>
    <n v="3629"/>
    <n v="7258"/>
    <x v="4"/>
    <x v="2"/>
  </r>
  <r>
    <m/>
    <d v="2024-08-03T00:00:00"/>
    <s v="Aug - 2024"/>
    <x v="3"/>
    <x v="0"/>
    <n v="6"/>
    <n v="58867"/>
    <n v="353202"/>
    <x v="9"/>
    <x v="2"/>
  </r>
  <r>
    <m/>
    <d v="2024-01-03T00:00:00"/>
    <s v="Jan - 2024"/>
    <x v="0"/>
    <x v="1"/>
    <n v="6"/>
    <n v="41460"/>
    <n v="248760"/>
    <x v="3"/>
    <x v="2"/>
  </r>
  <r>
    <m/>
    <d v="2024-10-04T00:00:00"/>
    <s v="Oct - 2024"/>
    <x v="3"/>
    <x v="5"/>
    <n v="6"/>
    <n v="54007"/>
    <n v="324042"/>
    <x v="7"/>
    <x v="0"/>
  </r>
  <r>
    <m/>
    <d v="2024-08-01T00:00:00"/>
    <s v="Aug - 2024"/>
    <x v="1"/>
    <x v="2"/>
    <n v="3"/>
    <n v="3629"/>
    <n v="10887"/>
    <x v="8"/>
    <x v="0"/>
  </r>
  <r>
    <m/>
    <d v="2024-01-19T00:00:00"/>
    <s v="Jan - 2024"/>
    <x v="1"/>
    <x v="0"/>
    <n v="4"/>
    <n v="4519"/>
    <n v="18076"/>
    <x v="2"/>
    <x v="2"/>
  </r>
  <r>
    <m/>
    <d v="2024-10-01T00:00:00"/>
    <s v="Oct - 2024"/>
    <x v="3"/>
    <x v="0"/>
    <n v="5"/>
    <n v="10921"/>
    <n v="54605"/>
    <x v="5"/>
    <x v="1"/>
  </r>
  <r>
    <m/>
    <d v="2024-01-21T00:00:00"/>
    <s v="Jan - 2024"/>
    <x v="1"/>
    <x v="0"/>
    <n v="6"/>
    <n v="59243"/>
    <n v="355458"/>
    <x v="3"/>
    <x v="2"/>
  </r>
  <r>
    <m/>
    <d v="2024-11-18T00:00:00"/>
    <s v="Nov - 2024"/>
    <x v="3"/>
    <x v="2"/>
    <n v="2"/>
    <n v="70674"/>
    <n v="141348"/>
    <x v="3"/>
    <x v="0"/>
  </r>
  <r>
    <m/>
    <d v="2024-03-12T00:00:00"/>
    <s v="Mar - 2024"/>
    <x v="3"/>
    <x v="2"/>
    <n v="2"/>
    <n v="3629"/>
    <n v="7258"/>
    <x v="1"/>
    <x v="2"/>
  </r>
  <r>
    <m/>
    <d v="2024-04-26T00:00:00"/>
    <s v="Apr - 2024"/>
    <x v="0"/>
    <x v="0"/>
    <n v="6"/>
    <n v="35128"/>
    <n v="210768"/>
    <x v="1"/>
    <x v="2"/>
  </r>
  <r>
    <m/>
    <d v="2024-07-20T00:00:00"/>
    <s v="Jul - 2024"/>
    <x v="3"/>
    <x v="3"/>
    <n v="6"/>
    <n v="30968"/>
    <n v="185808"/>
    <x v="3"/>
    <x v="2"/>
  </r>
  <r>
    <m/>
    <d v="2024-01-19T00:00:00"/>
    <s v="Jan - 2024"/>
    <x v="1"/>
    <x v="0"/>
    <n v="6"/>
    <n v="10921"/>
    <n v="65526"/>
    <x v="0"/>
    <x v="1"/>
  </r>
  <r>
    <m/>
    <d v="2024-08-27T00:00:00"/>
    <s v="Aug - 2024"/>
    <x v="0"/>
    <x v="0"/>
    <n v="9"/>
    <n v="10921"/>
    <n v="98289"/>
    <x v="6"/>
    <x v="0"/>
  </r>
  <r>
    <m/>
    <d v="2024-12-19T00:00:00"/>
    <s v="Dec - 2024"/>
    <x v="3"/>
    <x v="1"/>
    <n v="6"/>
    <n v="34082"/>
    <n v="204492"/>
    <x v="6"/>
    <x v="2"/>
  </r>
  <r>
    <m/>
    <d v="2024-01-01T00:00:00"/>
    <s v="Jan - 2024"/>
    <x v="0"/>
    <x v="2"/>
    <n v="6"/>
    <n v="16048"/>
    <n v="96288"/>
    <x v="1"/>
    <x v="2"/>
  </r>
  <r>
    <m/>
    <d v="2024-09-07T00:00:00"/>
    <s v="Sep - 2024"/>
    <x v="0"/>
    <x v="5"/>
    <n v="6"/>
    <n v="26694"/>
    <n v="160164"/>
    <x v="2"/>
    <x v="0"/>
  </r>
  <r>
    <m/>
    <d v="2024-03-28T00:00:00"/>
    <s v="Mar - 2024"/>
    <x v="3"/>
    <x v="5"/>
    <n v="6"/>
    <n v="26694"/>
    <n v="160164"/>
    <x v="0"/>
    <x v="0"/>
  </r>
  <r>
    <m/>
    <d v="2024-03-09T00:00:00"/>
    <s v="Mar - 2024"/>
    <x v="3"/>
    <x v="0"/>
    <n v="8"/>
    <n v="49642"/>
    <n v="397136"/>
    <x v="5"/>
    <x v="2"/>
  </r>
  <r>
    <m/>
    <d v="2024-11-26T00:00:00"/>
    <s v="Nov - 2024"/>
    <x v="3"/>
    <x v="2"/>
    <n v="6"/>
    <n v="3629"/>
    <n v="21774"/>
    <x v="1"/>
    <x v="1"/>
  </r>
  <r>
    <m/>
    <d v="2024-08-27T00:00:00"/>
    <s v="Aug - 2024"/>
    <x v="0"/>
    <x v="3"/>
    <n v="6"/>
    <n v="30968"/>
    <n v="185808"/>
    <x v="5"/>
    <x v="0"/>
  </r>
  <r>
    <m/>
    <d v="2024-03-28T00:00:00"/>
    <s v="Mar - 2024"/>
    <x v="3"/>
    <x v="3"/>
    <n v="6"/>
    <n v="48220"/>
    <n v="289320"/>
    <x v="9"/>
    <x v="0"/>
  </r>
  <r>
    <m/>
    <d v="2024-11-29T00:00:00"/>
    <s v="Nov - 2024"/>
    <x v="0"/>
    <x v="4"/>
    <n v="8"/>
    <n v="37708"/>
    <n v="301664"/>
    <x v="6"/>
    <x v="2"/>
  </r>
  <r>
    <m/>
    <d v="2024-05-15T00:00:00"/>
    <s v="May - 2024"/>
    <x v="0"/>
    <x v="5"/>
    <n v="4"/>
    <n v="26694"/>
    <n v="106776"/>
    <x v="9"/>
    <x v="1"/>
  </r>
  <r>
    <m/>
    <d v="2024-07-12T00:00:00"/>
    <s v="Jul - 2024"/>
    <x v="3"/>
    <x v="3"/>
    <n v="6"/>
    <n v="30968"/>
    <n v="185808"/>
    <x v="0"/>
    <x v="0"/>
  </r>
  <r>
    <m/>
    <d v="2024-01-18T00:00:00"/>
    <s v="Jan - 2024"/>
    <x v="0"/>
    <x v="4"/>
    <n v="1"/>
    <n v="20909"/>
    <n v="20909"/>
    <x v="7"/>
    <x v="0"/>
  </r>
  <r>
    <m/>
    <d v="2024-09-20T00:00:00"/>
    <s v="Sep - 2024"/>
    <x v="2"/>
    <x v="0"/>
    <n v="6"/>
    <n v="71417"/>
    <n v="428502"/>
    <x v="6"/>
    <x v="0"/>
  </r>
  <r>
    <m/>
    <d v="2024-09-08T00:00:00"/>
    <s v="Sep - 2024"/>
    <x v="0"/>
    <x v="0"/>
    <n v="6"/>
    <n v="10921"/>
    <n v="65526"/>
    <x v="0"/>
    <x v="2"/>
  </r>
  <r>
    <m/>
    <d v="2024-09-16T00:00:00"/>
    <s v="Sep - 2024"/>
    <x v="0"/>
    <x v="3"/>
    <n v="6"/>
    <n v="30968"/>
    <n v="185808"/>
    <x v="2"/>
    <x v="0"/>
  </r>
  <r>
    <m/>
    <d v="2024-02-21T00:00:00"/>
    <s v="Feb - 2024"/>
    <x v="3"/>
    <x v="3"/>
    <n v="7"/>
    <n v="30968"/>
    <n v="216776"/>
    <x v="7"/>
    <x v="0"/>
  </r>
  <r>
    <m/>
    <d v="2024-06-01T00:00:00"/>
    <s v="Jun - 2024"/>
    <x v="3"/>
    <x v="3"/>
    <n v="10"/>
    <n v="72606"/>
    <n v="726060"/>
    <x v="3"/>
    <x v="2"/>
  </r>
  <r>
    <m/>
    <d v="2024-07-06T00:00:00"/>
    <s v="Jul - 2024"/>
    <x v="1"/>
    <x v="4"/>
    <n v="6"/>
    <n v="20909"/>
    <n v="125454"/>
    <x v="7"/>
    <x v="1"/>
  </r>
  <r>
    <m/>
    <d v="2024-02-20T00:00:00"/>
    <s v="Feb - 2024"/>
    <x v="0"/>
    <x v="4"/>
    <n v="6"/>
    <n v="37038"/>
    <n v="222228"/>
    <x v="4"/>
    <x v="0"/>
  </r>
  <r>
    <m/>
    <d v="2024-09-07T00:00:00"/>
    <s v="Sep - 2024"/>
    <x v="2"/>
    <x v="4"/>
    <n v="8"/>
    <n v="60993"/>
    <n v="487944"/>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144C7-3F70-4281-AFBE-2B45B7DB86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3:J16" firstHeaderRow="1" firstDataRow="1" firstDataCol="1"/>
  <pivotFields count="11">
    <pivotField showAll="0"/>
    <pivotField axis="axisRow" numFmtId="164" showAll="0">
      <items count="125">
        <item x="113"/>
        <item x="61"/>
        <item x="37"/>
        <item x="100"/>
        <item x="50"/>
        <item x="80"/>
        <item x="119"/>
        <item x="8"/>
        <item x="19"/>
        <item x="107"/>
        <item x="30"/>
        <item x="90"/>
        <item x="54"/>
        <item x="76"/>
        <item x="0"/>
        <item x="74"/>
        <item x="51"/>
        <item x="14"/>
        <item x="59"/>
        <item x="84"/>
        <item x="6"/>
        <item x="121"/>
        <item x="95"/>
        <item x="62"/>
        <item x="2"/>
        <item x="34"/>
        <item x="65"/>
        <item x="115"/>
        <item x="56"/>
        <item x="109"/>
        <item x="17"/>
        <item x="43"/>
        <item x="93"/>
        <item x="86"/>
        <item x="64"/>
        <item x="98"/>
        <item x="5"/>
        <item x="78"/>
        <item x="52"/>
        <item x="58"/>
        <item x="32"/>
        <item x="40"/>
        <item x="88"/>
        <item x="99"/>
        <item x="24"/>
        <item x="27"/>
        <item x="48"/>
        <item x="117"/>
        <item x="38"/>
        <item x="89"/>
        <item x="77"/>
        <item x="122"/>
        <item x="36"/>
        <item x="13"/>
        <item x="71"/>
        <item x="85"/>
        <item x="33"/>
        <item x="68"/>
        <item x="4"/>
        <item x="15"/>
        <item x="72"/>
        <item x="12"/>
        <item x="123"/>
        <item x="44"/>
        <item x="118"/>
        <item x="11"/>
        <item x="25"/>
        <item x="110"/>
        <item x="49"/>
        <item x="67"/>
        <item x="70"/>
        <item x="96"/>
        <item x="105"/>
        <item x="103"/>
        <item x="63"/>
        <item x="26"/>
        <item x="102"/>
        <item x="22"/>
        <item x="53"/>
        <item x="57"/>
        <item x="91"/>
        <item x="16"/>
        <item x="111"/>
        <item x="47"/>
        <item x="87"/>
        <item x="73"/>
        <item x="114"/>
        <item x="46"/>
        <item x="35"/>
        <item x="120"/>
        <item x="23"/>
        <item x="31"/>
        <item x="20"/>
        <item x="66"/>
        <item x="106"/>
        <item x="42"/>
        <item x="39"/>
        <item x="104"/>
        <item x="60"/>
        <item x="69"/>
        <item x="79"/>
        <item x="82"/>
        <item x="101"/>
        <item x="97"/>
        <item x="29"/>
        <item x="55"/>
        <item x="81"/>
        <item x="7"/>
        <item x="92"/>
        <item x="108"/>
        <item x="10"/>
        <item x="116"/>
        <item x="45"/>
        <item x="18"/>
        <item x="83"/>
        <item x="1"/>
        <item x="94"/>
        <item x="3"/>
        <item x="75"/>
        <item x="9"/>
        <item x="112"/>
        <item x="21"/>
        <item x="41"/>
        <item x="28"/>
        <item t="default"/>
      </items>
    </pivotField>
    <pivotField showAll="0">
      <items count="5">
        <item h="1" x="1"/>
        <item x="0"/>
        <item h="1" x="3"/>
        <item h="1" x="2"/>
        <item t="default"/>
      </items>
    </pivotField>
    <pivotField showAll="0"/>
    <pivotField showAll="0"/>
    <pivotField showAll="0"/>
    <pivotField dataField="1" showAll="0"/>
    <pivotField showAll="0"/>
    <pivotField showAll="0">
      <items count="4">
        <item x="1"/>
        <item x="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TotalSales" fld="6" baseField="0" baseItem="0"/>
  </dataFields>
  <conditionalFormats count="1">
    <conditionalFormat type="all" priority="4">
      <pivotAreas count="12">
        <pivotArea type="data" collapsedLevelsAreSubtotals="1" fieldPosition="0">
          <references count="2">
            <reference field="4294967294" count="1" selected="0">
              <x v="0"/>
            </reference>
            <reference field="10" count="1">
              <x v="1"/>
            </reference>
          </references>
        </pivotArea>
        <pivotArea type="data" collapsedLevelsAreSubtotals="1" fieldPosition="0">
          <references count="2">
            <reference field="4294967294" count="1" selected="0">
              <x v="0"/>
            </reference>
            <reference field="10" count="1">
              <x v="2"/>
            </reference>
          </references>
        </pivotArea>
        <pivotArea type="data" collapsedLevelsAreSubtotals="1" fieldPosition="0">
          <references count="2">
            <reference field="4294967294" count="1" selected="0">
              <x v="0"/>
            </reference>
            <reference field="10" count="1">
              <x v="3"/>
            </reference>
          </references>
        </pivotArea>
        <pivotArea type="data" collapsedLevelsAreSubtotals="1" fieldPosition="0">
          <references count="2">
            <reference field="4294967294" count="1" selected="0">
              <x v="0"/>
            </reference>
            <reference field="10" count="1">
              <x v="4"/>
            </reference>
          </references>
        </pivotArea>
        <pivotArea type="data" collapsedLevelsAreSubtotals="1" fieldPosition="0">
          <references count="2">
            <reference field="4294967294" count="1" selected="0">
              <x v="0"/>
            </reference>
            <reference field="10" count="1">
              <x v="5"/>
            </reference>
          </references>
        </pivotArea>
        <pivotArea type="data" collapsedLevelsAreSubtotals="1" fieldPosition="0">
          <references count="2">
            <reference field="4294967294" count="1" selected="0">
              <x v="0"/>
            </reference>
            <reference field="10" count="1">
              <x v="6"/>
            </reference>
          </references>
        </pivotArea>
        <pivotArea type="data" collapsedLevelsAreSubtotals="1" fieldPosition="0">
          <references count="2">
            <reference field="4294967294" count="1" selected="0">
              <x v="0"/>
            </reference>
            <reference field="10" count="1">
              <x v="7"/>
            </reference>
          </references>
        </pivotArea>
        <pivotArea type="data" collapsedLevelsAreSubtotals="1" fieldPosition="0">
          <references count="2">
            <reference field="4294967294" count="1" selected="0">
              <x v="0"/>
            </reference>
            <reference field="10" count="1">
              <x v="8"/>
            </reference>
          </references>
        </pivotArea>
        <pivotArea type="data" collapsedLevelsAreSubtotals="1" fieldPosition="0">
          <references count="2">
            <reference field="4294967294" count="1" selected="0">
              <x v="0"/>
            </reference>
            <reference field="10" count="1">
              <x v="9"/>
            </reference>
          </references>
        </pivotArea>
        <pivotArea type="data" collapsedLevelsAreSubtotals="1" fieldPosition="0">
          <references count="2">
            <reference field="4294967294" count="1" selected="0">
              <x v="0"/>
            </reference>
            <reference field="10" count="1">
              <x v="10"/>
            </reference>
          </references>
        </pivotArea>
        <pivotArea type="data" collapsedLevelsAreSubtotals="1" fieldPosition="0">
          <references count="2">
            <reference field="4294967294" count="1" selected="0">
              <x v="0"/>
            </reference>
            <reference field="10" count="1">
              <x v="11"/>
            </reference>
          </references>
        </pivotArea>
        <pivotArea type="data" collapsedLevelsAreSubtotals="1" fieldPosition="0">
          <references count="2">
            <reference field="4294967294" count="1" selected="0">
              <x v="0"/>
            </reference>
            <reference field="10" count="1">
              <x v="12"/>
            </reference>
          </references>
        </pivotArea>
      </pivotAreas>
    </conditionalFormat>
  </conditionalFormats>
  <chartFormats count="1">
    <chartFormat chart="13"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AF34C8-92E9-43CE-B6A7-93728C86C4A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3:F20" firstHeaderRow="1" firstDataRow="1" firstDataCol="1"/>
  <pivotFields count="10">
    <pivotField showAll="0"/>
    <pivotField numFmtId="164" showAll="0"/>
    <pivotField showAll="0"/>
    <pivotField showAll="0">
      <items count="5">
        <item x="1"/>
        <item x="0"/>
        <item x="3"/>
        <item x="2"/>
        <item t="default"/>
      </items>
    </pivotField>
    <pivotField axis="axisRow" showAll="0" sortType="descending">
      <items count="7">
        <item x="3"/>
        <item x="2"/>
        <item x="0"/>
        <item x="1"/>
        <item x="4"/>
        <item x="5"/>
        <item t="default"/>
      </items>
    </pivotField>
    <pivotField showAll="0"/>
    <pivotField showAll="0"/>
    <pivotField dataField="1" showAll="0"/>
    <pivotField showAll="0"/>
    <pivotField showAll="0"/>
  </pivotFields>
  <rowFields count="1">
    <field x="4"/>
  </rowFields>
  <rowItems count="7">
    <i>
      <x/>
    </i>
    <i>
      <x v="1"/>
    </i>
    <i>
      <x v="2"/>
    </i>
    <i>
      <x v="3"/>
    </i>
    <i>
      <x v="4"/>
    </i>
    <i>
      <x v="5"/>
    </i>
    <i t="grand">
      <x/>
    </i>
  </rowItems>
  <colItems count="1">
    <i/>
  </colItems>
  <dataFields count="1">
    <dataField name="Sum of TotalSales" fld="7" baseField="0" baseItem="0"/>
  </dataFields>
  <conditionalFormats count="1">
    <conditionalFormat type="all" priority="5">
      <pivotAreas count="1">
        <pivotArea type="data" collapsedLevelsAreSubtotals="1" fieldPosition="0">
          <references count="2">
            <reference field="4294967294" count="1" selected="0">
              <x v="0"/>
            </reference>
            <reference field="4" count="6">
              <x v="0"/>
              <x v="1"/>
              <x v="2"/>
              <x v="3"/>
              <x v="4"/>
              <x v="5"/>
            </reference>
          </references>
        </pivotArea>
      </pivotAreas>
    </conditionalFormat>
  </conditional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C57C6B-E8B3-4881-828A-10C10D8F3FB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8" firstHeaderRow="1" firstDataRow="1" firstDataCol="1"/>
  <pivotFields count="10">
    <pivotField showAll="0"/>
    <pivotField numFmtId="164" showAll="0"/>
    <pivotField showAll="0"/>
    <pivotField axis="axisRow" showAll="0">
      <items count="5">
        <item x="1"/>
        <item x="0"/>
        <item x="3"/>
        <item x="2"/>
        <item t="default"/>
      </items>
    </pivotField>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TotalSales" fld="7" baseField="0" baseItem="0"/>
  </dataFields>
  <conditionalFormats count="1">
    <conditionalFormat priority="7">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40ADEC-CE55-4CB6-AF42-500B94E02D05}" name="KPI Calculation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0" firstHeaderRow="1" firstDataRow="1" firstDataCol="1"/>
  <pivotFields count="10">
    <pivotField showAll="0"/>
    <pivotField numFmtId="164" showAll="0"/>
    <pivotField showAll="0"/>
    <pivotField showAll="0">
      <items count="5">
        <item x="1"/>
        <item x="0"/>
        <item x="3"/>
        <item x="2"/>
        <item t="default"/>
      </items>
    </pivotField>
    <pivotField axis="axisRow" showAll="0">
      <items count="7">
        <item x="5"/>
        <item x="4"/>
        <item x="1"/>
        <item x="0"/>
        <item x="2"/>
        <item x="3"/>
        <item t="default"/>
      </items>
    </pivotField>
    <pivotField showAll="0"/>
    <pivotField showAll="0"/>
    <pivotField dataField="1" showAll="0"/>
    <pivotField showAll="0"/>
    <pivotField showAll="0"/>
  </pivotFields>
  <rowFields count="1">
    <field x="4"/>
  </rowFields>
  <rowItems count="7">
    <i>
      <x/>
    </i>
    <i>
      <x v="1"/>
    </i>
    <i>
      <x v="2"/>
    </i>
    <i>
      <x v="3"/>
    </i>
    <i>
      <x v="4"/>
    </i>
    <i>
      <x v="5"/>
    </i>
    <i t="grand">
      <x/>
    </i>
  </rowItems>
  <colItems count="1">
    <i/>
  </colItems>
  <dataFields count="1">
    <dataField name="Sum of TotalSales" fld="7" baseField="0" baseItem="0"/>
  </dataField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47665A-0123-4D64-BC43-E52D3877DDAE}" name="KPI Calculation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numFmtId="164" showAll="0"/>
    <pivotField showAll="0"/>
    <pivotField axis="axisRow" showAll="0">
      <items count="5">
        <item x="1"/>
        <item x="0"/>
        <item x="3"/>
        <item x="2"/>
        <item t="default"/>
      </items>
    </pivotField>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TotalSales" fld="7" baseField="0" baseItem="0"/>
  </dataField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10960-9AD2-42E5-928C-703F04EA5D1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3:J34" firstHeaderRow="1" firstDataRow="1" firstDataCol="1" rowPageCount="1" colPageCount="1"/>
  <pivotFields count="10">
    <pivotField showAll="0"/>
    <pivotField numFmtId="164" showAll="0"/>
    <pivotField showAll="0"/>
    <pivotField showAll="0">
      <items count="5">
        <item x="1"/>
        <item x="0"/>
        <item x="3"/>
        <item x="2"/>
        <item t="default"/>
      </items>
    </pivotField>
    <pivotField showAll="0" sortType="descending">
      <items count="7">
        <item x="3"/>
        <item x="2"/>
        <item x="0"/>
        <item x="1"/>
        <item x="4"/>
        <item x="5"/>
        <item t="default"/>
      </items>
    </pivotField>
    <pivotField showAll="0"/>
    <pivotField showAll="0"/>
    <pivotField dataField="1" showAll="0"/>
    <pivotField axis="axisRow" showAll="0">
      <items count="11">
        <item x="2"/>
        <item x="4"/>
        <item x="3"/>
        <item x="0"/>
        <item x="1"/>
        <item x="7"/>
        <item x="6"/>
        <item x="8"/>
        <item x="9"/>
        <item x="5"/>
        <item t="default"/>
      </items>
    </pivotField>
    <pivotField axis="axisPage" showAll="0">
      <items count="4">
        <item x="1"/>
        <item x="2"/>
        <item x="0"/>
        <item t="default"/>
      </items>
    </pivotField>
  </pivotFields>
  <rowFields count="1">
    <field x="8"/>
  </rowFields>
  <rowItems count="11">
    <i>
      <x/>
    </i>
    <i>
      <x v="1"/>
    </i>
    <i>
      <x v="2"/>
    </i>
    <i>
      <x v="3"/>
    </i>
    <i>
      <x v="4"/>
    </i>
    <i>
      <x v="5"/>
    </i>
    <i>
      <x v="6"/>
    </i>
    <i>
      <x v="7"/>
    </i>
    <i>
      <x v="8"/>
    </i>
    <i>
      <x v="9"/>
    </i>
    <i t="grand">
      <x/>
    </i>
  </rowItems>
  <colItems count="1">
    <i/>
  </colItems>
  <pageFields count="1">
    <pageField fld="9" hier="-1"/>
  </pageFields>
  <dataFields count="1">
    <dataField name="Sum of TotalSales" fld="7" baseField="0" baseItem="0"/>
  </dataFields>
  <conditionalFormats count="1">
    <conditionalFormat type="all" priority="1">
      <pivotAreas count="1">
        <pivotArea type="data" collapsedLevelsAreSubtotals="1" fieldPosition="0">
          <references count="2">
            <reference field="4294967294" count="1" selected="0">
              <x v="0"/>
            </reference>
            <reference field="8" count="10">
              <x v="0"/>
              <x v="1"/>
              <x v="2"/>
              <x v="3"/>
              <x v="4"/>
              <x v="5"/>
              <x v="6"/>
              <x v="7"/>
              <x v="8"/>
              <x v="9"/>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3FF2610-F642-491B-984F-C921B331237F}" sourceName="Status">
  <pivotTables>
    <pivotTable tabId="8" name="PivotTable3"/>
  </pivotTables>
  <data>
    <tabular pivotCacheId="2113792483" sortOrder="descending">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45AB33-9868-43C5-ACE0-DAD2471180D2}" sourceName="Region">
  <pivotTables>
    <pivotTable tabId="8" name="PivotTable1"/>
    <pivotTable tabId="8" name="PivotTable2"/>
    <pivotTable tabId="8" name="PivotTable4"/>
  </pivotTables>
  <data>
    <tabular pivotCacheId="184826448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4B183AAE-33F5-453C-BE42-A91E89883E83}" cache="Slicer_Status" caption="Status" rowHeight="234950"/>
  <slicer name="Region" xr10:uid="{A67A9E95-7ABB-4ED6-9EC0-346A02FFBFA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070C0-89A5-48DC-A98F-60AA0C342999}" name="tbl_OrderData" displayName="tbl_OrderData" ref="A1:J152" totalsRowCount="1" headerRowDxfId="8" headerRowBorderDxfId="7" tableBorderDxfId="6">
  <autoFilter ref="A1:J151" xr:uid="{BF2070C0-89A5-48DC-A98F-60AA0C3429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6AE3BE5-D271-4ECB-9785-314AACE6368F}" name="Order ID" totalsRowLabel="Total"/>
    <tableColumn id="2" xr3:uid="{4A55D5CA-2A29-4289-B8A4-F8794F0DB126}" name="Order Date" dataDxfId="5"/>
    <tableColumn id="3" xr3:uid="{2BE49440-C2FF-47DA-BFC7-EE394CD2DFE8}" name="Month&amp;Year" dataDxfId="4">
      <calculatedColumnFormula>TEXT(B2,"mmm - yyyy")</calculatedColumnFormula>
    </tableColumn>
    <tableColumn id="4" xr3:uid="{67E44096-D446-4F96-8D93-977175B077B4}" name="Region"/>
    <tableColumn id="5" xr3:uid="{10DCD594-6892-403D-BC16-4229C8B6E020}" name="Product"/>
    <tableColumn id="6" xr3:uid="{8DAE0CDF-0702-4D6A-8B0A-3AC00A438893}" name="Quantity"/>
    <tableColumn id="7" xr3:uid="{130888D3-6B6B-42B2-90FC-ADD31551A248}" name="Unit Price"/>
    <tableColumn id="8" xr3:uid="{6949086F-56F9-4897-9D98-096267181226}" name="TotalSales">
      <calculatedColumnFormula>F2*G2</calculatedColumnFormula>
    </tableColumn>
    <tableColumn id="9" xr3:uid="{496BDA37-F769-4AA3-8378-8AA4B51E2FE0}" name="Salesperson"/>
    <tableColumn id="10" xr3:uid="{F55EB4F0-D016-4249-BD5C-1E2E10931730}" name="Status" totalsRowFunction="count"/>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AA7CD0-84B6-4108-8F83-FAF3AC87D32B}" name="tbl_TotalValues" displayName="tbl_TotalValues" ref="M1:O3" totalsRowShown="0">
  <autoFilter ref="M1:O3" xr:uid="{92AA7CD0-84B6-4108-8F83-FAF3AC87D32B}"/>
  <tableColumns count="3">
    <tableColumn id="1" xr3:uid="{0E27E29F-4D19-4117-8C35-57A85A084916}" name="Total Sales">
      <calculatedColumnFormula>SUM(H1:H150)</calculatedColumnFormula>
    </tableColumn>
    <tableColumn id="3" xr3:uid="{AA3B6004-260D-493D-AE6A-94D700C2AFEA}" name="Avg Order Values">
      <calculatedColumnFormula>AVERAGE(H1:H150)</calculatedColumnFormula>
    </tableColumn>
    <tableColumn id="5" xr3:uid="{3486109D-9F26-42FD-B880-C6FFF5BBA3AB}" name="Total Orders">
      <calculatedColumnFormula>COUNTA(A1:A150)</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
  <sheetViews>
    <sheetView workbookViewId="0">
      <selection activeCell="K20" sqref="K20"/>
    </sheetView>
  </sheetViews>
  <sheetFormatPr defaultRowHeight="14.4" x14ac:dyDescent="0.3"/>
  <cols>
    <col min="2" max="2" width="10.5546875" customWidth="1"/>
    <col min="7" max="7" width="11.109375" customWidth="1"/>
  </cols>
  <sheetData>
    <row r="1" spans="1:8" x14ac:dyDescent="0.3">
      <c r="A1" s="1" t="s">
        <v>0</v>
      </c>
      <c r="B1" s="1" t="s">
        <v>1</v>
      </c>
      <c r="C1" s="1" t="s">
        <v>2</v>
      </c>
      <c r="D1" s="1" t="s">
        <v>3</v>
      </c>
      <c r="E1" s="1" t="s">
        <v>4</v>
      </c>
      <c r="F1" s="1" t="s">
        <v>5</v>
      </c>
      <c r="G1" s="1" t="s">
        <v>6</v>
      </c>
      <c r="H1" s="1" t="s">
        <v>7</v>
      </c>
    </row>
    <row r="2" spans="1:8" x14ac:dyDescent="0.3">
      <c r="A2" t="s">
        <v>8</v>
      </c>
      <c r="B2" t="s">
        <v>83</v>
      </c>
      <c r="C2" t="s">
        <v>224</v>
      </c>
      <c r="D2" t="s">
        <v>230</v>
      </c>
      <c r="E2">
        <v>8</v>
      </c>
      <c r="F2">
        <v>5934</v>
      </c>
      <c r="G2" t="s">
        <v>236</v>
      </c>
      <c r="H2" t="s">
        <v>246</v>
      </c>
    </row>
    <row r="3" spans="1:8" x14ac:dyDescent="0.3">
      <c r="A3" t="s">
        <v>9</v>
      </c>
      <c r="B3" t="s">
        <v>84</v>
      </c>
      <c r="C3" t="s">
        <v>224</v>
      </c>
      <c r="D3" t="s">
        <v>231</v>
      </c>
      <c r="F3">
        <v>43999</v>
      </c>
      <c r="G3" t="s">
        <v>237</v>
      </c>
      <c r="H3" t="s">
        <v>246</v>
      </c>
    </row>
    <row r="4" spans="1:8" x14ac:dyDescent="0.3">
      <c r="A4" t="s">
        <v>10</v>
      </c>
      <c r="B4" t="s">
        <v>85</v>
      </c>
      <c r="C4" t="s">
        <v>225</v>
      </c>
      <c r="D4" t="s">
        <v>231</v>
      </c>
      <c r="F4">
        <v>200000</v>
      </c>
      <c r="G4" t="s">
        <v>238</v>
      </c>
      <c r="H4" t="s">
        <v>246</v>
      </c>
    </row>
    <row r="5" spans="1:8" x14ac:dyDescent="0.3">
      <c r="A5" t="s">
        <v>11</v>
      </c>
      <c r="B5" t="s">
        <v>86</v>
      </c>
      <c r="C5" t="s">
        <v>226</v>
      </c>
      <c r="D5" t="s">
        <v>232</v>
      </c>
      <c r="F5">
        <v>34203</v>
      </c>
      <c r="G5" t="s">
        <v>239</v>
      </c>
      <c r="H5" t="s">
        <v>247</v>
      </c>
    </row>
    <row r="6" spans="1:8" x14ac:dyDescent="0.3">
      <c r="A6" t="s">
        <v>12</v>
      </c>
      <c r="B6" t="s">
        <v>83</v>
      </c>
      <c r="C6" t="s">
        <v>227</v>
      </c>
      <c r="D6" t="s">
        <v>233</v>
      </c>
      <c r="E6">
        <v>2</v>
      </c>
      <c r="F6">
        <v>7844</v>
      </c>
      <c r="G6" t="s">
        <v>239</v>
      </c>
      <c r="H6" t="s">
        <v>248</v>
      </c>
    </row>
    <row r="7" spans="1:8" x14ac:dyDescent="0.3">
      <c r="A7" t="s">
        <v>13</v>
      </c>
      <c r="B7" t="s">
        <v>87</v>
      </c>
      <c r="C7" t="s">
        <v>228</v>
      </c>
      <c r="D7" t="s">
        <v>232</v>
      </c>
      <c r="F7">
        <v>25014</v>
      </c>
      <c r="G7" t="s">
        <v>240</v>
      </c>
      <c r="H7" t="s">
        <v>247</v>
      </c>
    </row>
    <row r="8" spans="1:8" x14ac:dyDescent="0.3">
      <c r="A8" t="s">
        <v>14</v>
      </c>
      <c r="B8" t="s">
        <v>88</v>
      </c>
      <c r="C8" t="s">
        <v>226</v>
      </c>
      <c r="D8" t="s">
        <v>234</v>
      </c>
      <c r="F8">
        <v>70603</v>
      </c>
      <c r="G8" t="s">
        <v>241</v>
      </c>
      <c r="H8" t="s">
        <v>246</v>
      </c>
    </row>
    <row r="9" spans="1:8" x14ac:dyDescent="0.3">
      <c r="A9" t="s">
        <v>13</v>
      </c>
      <c r="B9" t="s">
        <v>89</v>
      </c>
      <c r="C9" t="s">
        <v>229</v>
      </c>
      <c r="D9" t="s">
        <v>232</v>
      </c>
      <c r="E9">
        <v>7</v>
      </c>
      <c r="G9" t="s">
        <v>241</v>
      </c>
      <c r="H9" t="s">
        <v>248</v>
      </c>
    </row>
    <row r="10" spans="1:8" x14ac:dyDescent="0.3">
      <c r="A10" t="s">
        <v>15</v>
      </c>
      <c r="B10" t="s">
        <v>90</v>
      </c>
      <c r="C10" t="s">
        <v>229</v>
      </c>
      <c r="D10" t="s">
        <v>232</v>
      </c>
      <c r="F10">
        <v>52770</v>
      </c>
      <c r="G10" t="s">
        <v>241</v>
      </c>
      <c r="H10" t="s">
        <v>248</v>
      </c>
    </row>
    <row r="11" spans="1:8" x14ac:dyDescent="0.3">
      <c r="A11" t="s">
        <v>15</v>
      </c>
      <c r="B11" t="s">
        <v>91</v>
      </c>
      <c r="C11" t="s">
        <v>227</v>
      </c>
      <c r="D11" t="s">
        <v>234</v>
      </c>
      <c r="E11">
        <v>7</v>
      </c>
      <c r="F11">
        <v>5922</v>
      </c>
      <c r="G11" t="s">
        <v>241</v>
      </c>
      <c r="H11" t="s">
        <v>246</v>
      </c>
    </row>
    <row r="12" spans="1:8" x14ac:dyDescent="0.3">
      <c r="A12" t="s">
        <v>16</v>
      </c>
      <c r="B12" t="s">
        <v>92</v>
      </c>
      <c r="C12" t="s">
        <v>228</v>
      </c>
      <c r="D12" t="s">
        <v>231</v>
      </c>
      <c r="E12">
        <v>7</v>
      </c>
      <c r="F12">
        <v>34082</v>
      </c>
      <c r="G12" t="s">
        <v>240</v>
      </c>
      <c r="H12" t="s">
        <v>248</v>
      </c>
    </row>
    <row r="13" spans="1:8" x14ac:dyDescent="0.3">
      <c r="A13" t="s">
        <v>17</v>
      </c>
      <c r="B13" t="s">
        <v>93</v>
      </c>
      <c r="C13" t="s">
        <v>226</v>
      </c>
      <c r="D13" t="s">
        <v>231</v>
      </c>
      <c r="E13">
        <v>10</v>
      </c>
      <c r="G13" t="s">
        <v>241</v>
      </c>
      <c r="H13" t="s">
        <v>247</v>
      </c>
    </row>
    <row r="14" spans="1:8" x14ac:dyDescent="0.3">
      <c r="A14" t="s">
        <v>18</v>
      </c>
      <c r="B14" t="s">
        <v>94</v>
      </c>
      <c r="C14" t="s">
        <v>227</v>
      </c>
      <c r="D14" t="s">
        <v>230</v>
      </c>
      <c r="F14">
        <v>79951</v>
      </c>
      <c r="G14" t="s">
        <v>238</v>
      </c>
      <c r="H14" t="s">
        <v>247</v>
      </c>
    </row>
    <row r="15" spans="1:8" x14ac:dyDescent="0.3">
      <c r="A15" t="s">
        <v>19</v>
      </c>
      <c r="B15" t="s">
        <v>95</v>
      </c>
      <c r="C15" t="s">
        <v>228</v>
      </c>
      <c r="D15" t="s">
        <v>230</v>
      </c>
      <c r="E15">
        <v>4</v>
      </c>
      <c r="G15" t="s">
        <v>236</v>
      </c>
      <c r="H15" t="s">
        <v>246</v>
      </c>
    </row>
    <row r="16" spans="1:8" x14ac:dyDescent="0.3">
      <c r="A16" t="s">
        <v>20</v>
      </c>
      <c r="B16" t="s">
        <v>96</v>
      </c>
      <c r="C16" t="s">
        <v>225</v>
      </c>
      <c r="D16" t="s">
        <v>235</v>
      </c>
      <c r="F16">
        <v>30676</v>
      </c>
      <c r="G16" t="s">
        <v>237</v>
      </c>
      <c r="H16" t="s">
        <v>246</v>
      </c>
    </row>
    <row r="17" spans="1:8" x14ac:dyDescent="0.3">
      <c r="A17" t="s">
        <v>19</v>
      </c>
      <c r="B17" t="s">
        <v>97</v>
      </c>
      <c r="C17" t="s">
        <v>226</v>
      </c>
      <c r="D17" t="s">
        <v>234</v>
      </c>
      <c r="F17">
        <v>68641</v>
      </c>
      <c r="G17" t="s">
        <v>242</v>
      </c>
      <c r="H17" t="s">
        <v>246</v>
      </c>
    </row>
    <row r="18" spans="1:8" x14ac:dyDescent="0.3">
      <c r="A18" t="s">
        <v>21</v>
      </c>
      <c r="B18" t="s">
        <v>98</v>
      </c>
      <c r="C18" t="s">
        <v>226</v>
      </c>
      <c r="D18" t="s">
        <v>230</v>
      </c>
      <c r="E18">
        <v>6</v>
      </c>
      <c r="G18" t="s">
        <v>243</v>
      </c>
      <c r="H18" t="s">
        <v>246</v>
      </c>
    </row>
    <row r="19" spans="1:8" x14ac:dyDescent="0.3">
      <c r="A19" t="s">
        <v>22</v>
      </c>
      <c r="B19" t="s">
        <v>99</v>
      </c>
      <c r="C19" t="s">
        <v>228</v>
      </c>
      <c r="D19" t="s">
        <v>232</v>
      </c>
      <c r="F19">
        <v>7315</v>
      </c>
      <c r="G19" t="s">
        <v>241</v>
      </c>
      <c r="H19" t="s">
        <v>248</v>
      </c>
    </row>
    <row r="20" spans="1:8" x14ac:dyDescent="0.3">
      <c r="A20" t="s">
        <v>23</v>
      </c>
      <c r="B20" t="s">
        <v>100</v>
      </c>
      <c r="C20" t="s">
        <v>224</v>
      </c>
      <c r="D20" t="s">
        <v>234</v>
      </c>
      <c r="F20">
        <v>35896</v>
      </c>
      <c r="G20" t="s">
        <v>236</v>
      </c>
      <c r="H20" t="s">
        <v>246</v>
      </c>
    </row>
    <row r="21" spans="1:8" x14ac:dyDescent="0.3">
      <c r="A21" t="s">
        <v>24</v>
      </c>
      <c r="B21" t="s">
        <v>101</v>
      </c>
      <c r="C21" t="s">
        <v>229</v>
      </c>
      <c r="D21" t="s">
        <v>233</v>
      </c>
      <c r="F21">
        <v>32343</v>
      </c>
      <c r="G21" t="s">
        <v>241</v>
      </c>
      <c r="H21" t="s">
        <v>248</v>
      </c>
    </row>
    <row r="22" spans="1:8" x14ac:dyDescent="0.3">
      <c r="A22" t="s">
        <v>25</v>
      </c>
      <c r="B22" t="s">
        <v>102</v>
      </c>
      <c r="C22" t="s">
        <v>224</v>
      </c>
      <c r="D22" t="s">
        <v>232</v>
      </c>
      <c r="E22">
        <v>6</v>
      </c>
      <c r="F22">
        <v>17900</v>
      </c>
      <c r="G22" t="s">
        <v>242</v>
      </c>
      <c r="H22" t="s">
        <v>247</v>
      </c>
    </row>
    <row r="23" spans="1:8" x14ac:dyDescent="0.3">
      <c r="A23" t="s">
        <v>26</v>
      </c>
      <c r="B23" t="s">
        <v>103</v>
      </c>
      <c r="C23" t="s">
        <v>229</v>
      </c>
      <c r="D23" t="s">
        <v>232</v>
      </c>
      <c r="G23" t="s">
        <v>244</v>
      </c>
      <c r="H23" t="s">
        <v>248</v>
      </c>
    </row>
    <row r="24" spans="1:8" x14ac:dyDescent="0.3">
      <c r="A24" t="s">
        <v>22</v>
      </c>
      <c r="B24" t="s">
        <v>104</v>
      </c>
      <c r="C24" t="s">
        <v>226</v>
      </c>
      <c r="D24" t="s">
        <v>230</v>
      </c>
      <c r="F24">
        <v>5342</v>
      </c>
      <c r="G24" t="s">
        <v>239</v>
      </c>
      <c r="H24" t="s">
        <v>247</v>
      </c>
    </row>
    <row r="25" spans="1:8" x14ac:dyDescent="0.3">
      <c r="A25" t="s">
        <v>27</v>
      </c>
      <c r="B25" t="s">
        <v>105</v>
      </c>
      <c r="C25" t="s">
        <v>229</v>
      </c>
      <c r="D25" t="s">
        <v>235</v>
      </c>
      <c r="E25">
        <v>1</v>
      </c>
      <c r="F25">
        <v>150000</v>
      </c>
      <c r="G25" t="s">
        <v>243</v>
      </c>
      <c r="H25" t="s">
        <v>246</v>
      </c>
    </row>
    <row r="26" spans="1:8" x14ac:dyDescent="0.3">
      <c r="A26" t="s">
        <v>28</v>
      </c>
      <c r="B26" t="s">
        <v>106</v>
      </c>
      <c r="C26" t="s">
        <v>224</v>
      </c>
      <c r="D26" t="s">
        <v>232</v>
      </c>
      <c r="E26">
        <v>5</v>
      </c>
      <c r="F26">
        <v>300000</v>
      </c>
      <c r="G26" t="s">
        <v>242</v>
      </c>
      <c r="H26" t="s">
        <v>248</v>
      </c>
    </row>
    <row r="27" spans="1:8" x14ac:dyDescent="0.3">
      <c r="A27" t="s">
        <v>29</v>
      </c>
      <c r="B27" t="s">
        <v>107</v>
      </c>
      <c r="C27" t="s">
        <v>229</v>
      </c>
      <c r="D27" t="s">
        <v>235</v>
      </c>
      <c r="F27">
        <v>18344</v>
      </c>
      <c r="G27" t="s">
        <v>239</v>
      </c>
      <c r="H27" t="s">
        <v>248</v>
      </c>
    </row>
    <row r="28" spans="1:8" x14ac:dyDescent="0.3">
      <c r="A28" t="s">
        <v>30</v>
      </c>
      <c r="B28" t="s">
        <v>108</v>
      </c>
      <c r="C28" t="s">
        <v>225</v>
      </c>
      <c r="D28" t="s">
        <v>230</v>
      </c>
      <c r="F28">
        <v>38646</v>
      </c>
      <c r="G28" t="s">
        <v>244</v>
      </c>
      <c r="H28" t="s">
        <v>248</v>
      </c>
    </row>
    <row r="29" spans="1:8" x14ac:dyDescent="0.3">
      <c r="A29" t="s">
        <v>15</v>
      </c>
      <c r="B29" t="s">
        <v>109</v>
      </c>
      <c r="C29" t="s">
        <v>228</v>
      </c>
      <c r="D29" t="s">
        <v>232</v>
      </c>
      <c r="F29">
        <v>11718</v>
      </c>
      <c r="G29" t="s">
        <v>238</v>
      </c>
      <c r="H29" t="s">
        <v>246</v>
      </c>
    </row>
    <row r="30" spans="1:8" x14ac:dyDescent="0.3">
      <c r="A30" t="s">
        <v>29</v>
      </c>
      <c r="B30" t="s">
        <v>110</v>
      </c>
      <c r="C30" t="s">
        <v>225</v>
      </c>
      <c r="D30" t="s">
        <v>230</v>
      </c>
      <c r="F30">
        <v>42183</v>
      </c>
      <c r="G30" t="s">
        <v>240</v>
      </c>
      <c r="H30" t="s">
        <v>246</v>
      </c>
    </row>
    <row r="31" spans="1:8" x14ac:dyDescent="0.3">
      <c r="A31" t="s">
        <v>31</v>
      </c>
      <c r="B31" t="s">
        <v>111</v>
      </c>
      <c r="C31" t="s">
        <v>225</v>
      </c>
      <c r="D31" t="s">
        <v>232</v>
      </c>
      <c r="G31" t="s">
        <v>239</v>
      </c>
      <c r="H31" t="s">
        <v>246</v>
      </c>
    </row>
    <row r="32" spans="1:8" x14ac:dyDescent="0.3">
      <c r="A32" t="s">
        <v>32</v>
      </c>
      <c r="B32" t="s">
        <v>112</v>
      </c>
      <c r="C32" t="s">
        <v>225</v>
      </c>
      <c r="D32" t="s">
        <v>235</v>
      </c>
      <c r="E32">
        <v>3</v>
      </c>
      <c r="F32">
        <v>11490</v>
      </c>
      <c r="G32" t="s">
        <v>239</v>
      </c>
      <c r="H32" t="s">
        <v>246</v>
      </c>
    </row>
    <row r="33" spans="1:8" x14ac:dyDescent="0.3">
      <c r="A33" t="s">
        <v>33</v>
      </c>
      <c r="B33" t="s">
        <v>113</v>
      </c>
      <c r="C33" t="s">
        <v>229</v>
      </c>
      <c r="D33" t="s">
        <v>233</v>
      </c>
      <c r="E33">
        <v>1</v>
      </c>
      <c r="F33">
        <v>74536</v>
      </c>
      <c r="G33" t="s">
        <v>239</v>
      </c>
      <c r="H33" t="s">
        <v>246</v>
      </c>
    </row>
    <row r="34" spans="1:8" x14ac:dyDescent="0.3">
      <c r="A34" t="s">
        <v>34</v>
      </c>
      <c r="B34" t="s">
        <v>114</v>
      </c>
      <c r="C34" t="s">
        <v>228</v>
      </c>
      <c r="D34" t="s">
        <v>232</v>
      </c>
      <c r="F34">
        <v>66002</v>
      </c>
      <c r="G34" t="s">
        <v>244</v>
      </c>
      <c r="H34" t="s">
        <v>246</v>
      </c>
    </row>
    <row r="35" spans="1:8" x14ac:dyDescent="0.3">
      <c r="A35" t="s">
        <v>35</v>
      </c>
      <c r="B35" t="s">
        <v>115</v>
      </c>
      <c r="C35" t="s">
        <v>224</v>
      </c>
      <c r="D35" t="s">
        <v>235</v>
      </c>
      <c r="E35">
        <v>9</v>
      </c>
      <c r="F35">
        <v>85185</v>
      </c>
      <c r="G35" t="s">
        <v>244</v>
      </c>
      <c r="H35" t="s">
        <v>247</v>
      </c>
    </row>
    <row r="36" spans="1:8" x14ac:dyDescent="0.3">
      <c r="A36" t="s">
        <v>9</v>
      </c>
      <c r="B36" t="s">
        <v>116</v>
      </c>
      <c r="C36" t="s">
        <v>226</v>
      </c>
      <c r="D36" t="s">
        <v>230</v>
      </c>
      <c r="E36">
        <v>3</v>
      </c>
      <c r="G36" t="s">
        <v>244</v>
      </c>
      <c r="H36" t="s">
        <v>248</v>
      </c>
    </row>
    <row r="37" spans="1:8" x14ac:dyDescent="0.3">
      <c r="A37" t="s">
        <v>36</v>
      </c>
      <c r="B37" t="s">
        <v>117</v>
      </c>
      <c r="C37" t="s">
        <v>225</v>
      </c>
      <c r="D37" t="s">
        <v>232</v>
      </c>
      <c r="G37" t="s">
        <v>244</v>
      </c>
      <c r="H37" t="s">
        <v>246</v>
      </c>
    </row>
    <row r="38" spans="1:8" x14ac:dyDescent="0.3">
      <c r="A38" t="s">
        <v>37</v>
      </c>
      <c r="B38" t="s">
        <v>118</v>
      </c>
      <c r="C38" t="s">
        <v>225</v>
      </c>
      <c r="D38" t="s">
        <v>230</v>
      </c>
      <c r="E38">
        <v>1</v>
      </c>
      <c r="G38" t="s">
        <v>238</v>
      </c>
      <c r="H38" t="s">
        <v>246</v>
      </c>
    </row>
    <row r="39" spans="1:8" x14ac:dyDescent="0.3">
      <c r="A39" t="s">
        <v>38</v>
      </c>
      <c r="B39" t="s">
        <v>119</v>
      </c>
      <c r="C39" t="s">
        <v>225</v>
      </c>
      <c r="D39" t="s">
        <v>232</v>
      </c>
      <c r="F39">
        <v>23722</v>
      </c>
      <c r="G39" t="s">
        <v>245</v>
      </c>
      <c r="H39" t="s">
        <v>248</v>
      </c>
    </row>
    <row r="40" spans="1:8" x14ac:dyDescent="0.3">
      <c r="A40" t="s">
        <v>39</v>
      </c>
      <c r="B40" t="s">
        <v>120</v>
      </c>
      <c r="C40" t="s">
        <v>228</v>
      </c>
      <c r="D40" t="s">
        <v>233</v>
      </c>
      <c r="E40">
        <v>6</v>
      </c>
      <c r="G40" t="s">
        <v>236</v>
      </c>
      <c r="H40" t="s">
        <v>247</v>
      </c>
    </row>
    <row r="41" spans="1:8" x14ac:dyDescent="0.3">
      <c r="A41" t="s">
        <v>40</v>
      </c>
      <c r="B41" t="s">
        <v>121</v>
      </c>
      <c r="C41" t="s">
        <v>224</v>
      </c>
      <c r="D41" t="s">
        <v>232</v>
      </c>
      <c r="F41">
        <v>12485</v>
      </c>
      <c r="G41" t="s">
        <v>239</v>
      </c>
      <c r="H41" t="s">
        <v>248</v>
      </c>
    </row>
    <row r="42" spans="1:8" x14ac:dyDescent="0.3">
      <c r="A42" t="s">
        <v>41</v>
      </c>
      <c r="B42" t="s">
        <v>122</v>
      </c>
      <c r="C42" t="s">
        <v>224</v>
      </c>
      <c r="D42" t="s">
        <v>234</v>
      </c>
      <c r="G42" t="s">
        <v>240</v>
      </c>
      <c r="H42" t="s">
        <v>246</v>
      </c>
    </row>
    <row r="43" spans="1:8" x14ac:dyDescent="0.3">
      <c r="A43" t="s">
        <v>20</v>
      </c>
      <c r="B43" t="s">
        <v>123</v>
      </c>
      <c r="C43" t="s">
        <v>225</v>
      </c>
      <c r="D43" t="s">
        <v>231</v>
      </c>
      <c r="F43">
        <v>48612</v>
      </c>
      <c r="G43" t="s">
        <v>245</v>
      </c>
      <c r="H43" t="s">
        <v>247</v>
      </c>
    </row>
    <row r="44" spans="1:8" x14ac:dyDescent="0.3">
      <c r="A44" t="s">
        <v>34</v>
      </c>
      <c r="B44" t="s">
        <v>124</v>
      </c>
      <c r="C44" t="s">
        <v>225</v>
      </c>
      <c r="D44" t="s">
        <v>230</v>
      </c>
      <c r="F44">
        <v>46616</v>
      </c>
      <c r="G44" t="s">
        <v>240</v>
      </c>
      <c r="H44" t="s">
        <v>248</v>
      </c>
    </row>
    <row r="45" spans="1:8" x14ac:dyDescent="0.3">
      <c r="A45" t="s">
        <v>42</v>
      </c>
      <c r="B45" t="s">
        <v>125</v>
      </c>
      <c r="C45" t="s">
        <v>227</v>
      </c>
      <c r="D45" t="s">
        <v>234</v>
      </c>
      <c r="F45">
        <v>72323</v>
      </c>
      <c r="G45" t="s">
        <v>238</v>
      </c>
      <c r="H45" t="s">
        <v>248</v>
      </c>
    </row>
    <row r="46" spans="1:8" x14ac:dyDescent="0.3">
      <c r="A46" t="s">
        <v>43</v>
      </c>
      <c r="B46" t="s">
        <v>126</v>
      </c>
      <c r="C46" t="s">
        <v>226</v>
      </c>
      <c r="D46" t="s">
        <v>230</v>
      </c>
      <c r="E46">
        <v>1</v>
      </c>
      <c r="F46">
        <v>63449</v>
      </c>
      <c r="G46" t="s">
        <v>239</v>
      </c>
      <c r="H46" t="s">
        <v>246</v>
      </c>
    </row>
    <row r="47" spans="1:8" x14ac:dyDescent="0.3">
      <c r="A47" t="s">
        <v>44</v>
      </c>
      <c r="B47" t="s">
        <v>127</v>
      </c>
      <c r="C47" t="s">
        <v>224</v>
      </c>
      <c r="D47" t="s">
        <v>232</v>
      </c>
      <c r="E47">
        <v>9</v>
      </c>
      <c r="F47">
        <v>60885</v>
      </c>
      <c r="G47" t="s">
        <v>245</v>
      </c>
      <c r="H47" t="s">
        <v>248</v>
      </c>
    </row>
    <row r="48" spans="1:8" x14ac:dyDescent="0.3">
      <c r="A48" t="s">
        <v>45</v>
      </c>
      <c r="B48" t="s">
        <v>128</v>
      </c>
      <c r="C48" t="s">
        <v>224</v>
      </c>
      <c r="D48" t="s">
        <v>230</v>
      </c>
      <c r="G48" t="s">
        <v>240</v>
      </c>
      <c r="H48" t="s">
        <v>248</v>
      </c>
    </row>
    <row r="49" spans="1:8" x14ac:dyDescent="0.3">
      <c r="A49" t="s">
        <v>46</v>
      </c>
      <c r="B49" t="s">
        <v>129</v>
      </c>
      <c r="C49" t="s">
        <v>228</v>
      </c>
      <c r="D49" t="s">
        <v>234</v>
      </c>
      <c r="G49" t="s">
        <v>245</v>
      </c>
      <c r="H49" t="s">
        <v>248</v>
      </c>
    </row>
    <row r="50" spans="1:8" x14ac:dyDescent="0.3">
      <c r="A50" t="s">
        <v>24</v>
      </c>
      <c r="B50" t="s">
        <v>130</v>
      </c>
      <c r="C50" t="s">
        <v>228</v>
      </c>
      <c r="D50" t="s">
        <v>235</v>
      </c>
      <c r="E50">
        <v>8</v>
      </c>
      <c r="F50">
        <v>79027</v>
      </c>
      <c r="G50" t="s">
        <v>244</v>
      </c>
      <c r="H50" t="s">
        <v>248</v>
      </c>
    </row>
    <row r="51" spans="1:8" x14ac:dyDescent="0.3">
      <c r="A51" t="s">
        <v>24</v>
      </c>
      <c r="B51" t="s">
        <v>131</v>
      </c>
      <c r="C51" t="s">
        <v>228</v>
      </c>
      <c r="D51" t="s">
        <v>232</v>
      </c>
      <c r="F51">
        <v>24904</v>
      </c>
      <c r="G51" t="s">
        <v>237</v>
      </c>
      <c r="H51" t="s">
        <v>246</v>
      </c>
    </row>
    <row r="52" spans="1:8" x14ac:dyDescent="0.3">
      <c r="A52" t="s">
        <v>47</v>
      </c>
      <c r="B52" t="s">
        <v>132</v>
      </c>
      <c r="C52" t="s">
        <v>228</v>
      </c>
      <c r="D52" t="s">
        <v>234</v>
      </c>
      <c r="E52">
        <v>8</v>
      </c>
      <c r="G52" t="s">
        <v>241</v>
      </c>
      <c r="H52" t="s">
        <v>247</v>
      </c>
    </row>
    <row r="53" spans="1:8" x14ac:dyDescent="0.3">
      <c r="A53" t="s">
        <v>48</v>
      </c>
      <c r="B53" t="s">
        <v>133</v>
      </c>
      <c r="C53" t="s">
        <v>229</v>
      </c>
      <c r="D53" t="s">
        <v>234</v>
      </c>
      <c r="F53">
        <v>74302</v>
      </c>
      <c r="G53" t="s">
        <v>236</v>
      </c>
      <c r="H53" t="s">
        <v>246</v>
      </c>
    </row>
    <row r="54" spans="1:8" x14ac:dyDescent="0.3">
      <c r="A54" t="s">
        <v>14</v>
      </c>
      <c r="B54" t="s">
        <v>134</v>
      </c>
      <c r="C54" t="s">
        <v>227</v>
      </c>
      <c r="D54" t="s">
        <v>232</v>
      </c>
      <c r="F54">
        <v>75735</v>
      </c>
      <c r="G54" t="s">
        <v>241</v>
      </c>
      <c r="H54" t="s">
        <v>248</v>
      </c>
    </row>
    <row r="55" spans="1:8" x14ac:dyDescent="0.3">
      <c r="A55" t="s">
        <v>16</v>
      </c>
      <c r="B55" t="s">
        <v>135</v>
      </c>
      <c r="C55" t="s">
        <v>224</v>
      </c>
      <c r="D55" t="s">
        <v>233</v>
      </c>
      <c r="E55">
        <v>7</v>
      </c>
      <c r="F55">
        <v>77702</v>
      </c>
      <c r="G55" t="s">
        <v>240</v>
      </c>
      <c r="H55" t="s">
        <v>248</v>
      </c>
    </row>
    <row r="56" spans="1:8" x14ac:dyDescent="0.3">
      <c r="A56" t="s">
        <v>30</v>
      </c>
      <c r="B56" t="s">
        <v>136</v>
      </c>
      <c r="C56" t="s">
        <v>226</v>
      </c>
      <c r="D56" t="s">
        <v>234</v>
      </c>
      <c r="E56">
        <v>9</v>
      </c>
      <c r="G56" t="s">
        <v>244</v>
      </c>
      <c r="H56" t="s">
        <v>248</v>
      </c>
    </row>
    <row r="57" spans="1:8" x14ac:dyDescent="0.3">
      <c r="A57" t="s">
        <v>49</v>
      </c>
      <c r="B57" t="s">
        <v>137</v>
      </c>
      <c r="C57" t="s">
        <v>227</v>
      </c>
      <c r="D57" t="s">
        <v>231</v>
      </c>
      <c r="G57" t="s">
        <v>242</v>
      </c>
      <c r="H57" t="s">
        <v>248</v>
      </c>
    </row>
    <row r="58" spans="1:8" x14ac:dyDescent="0.3">
      <c r="A58" t="s">
        <v>30</v>
      </c>
      <c r="B58" t="s">
        <v>138</v>
      </c>
      <c r="C58" t="s">
        <v>227</v>
      </c>
      <c r="D58" t="s">
        <v>233</v>
      </c>
      <c r="G58" t="s">
        <v>243</v>
      </c>
      <c r="H58" t="s">
        <v>246</v>
      </c>
    </row>
    <row r="59" spans="1:8" x14ac:dyDescent="0.3">
      <c r="A59" t="s">
        <v>45</v>
      </c>
      <c r="B59" t="s">
        <v>139</v>
      </c>
      <c r="C59" t="s">
        <v>228</v>
      </c>
      <c r="D59" t="s">
        <v>231</v>
      </c>
      <c r="F59">
        <v>69195</v>
      </c>
      <c r="G59" t="s">
        <v>236</v>
      </c>
      <c r="H59" t="s">
        <v>246</v>
      </c>
    </row>
    <row r="60" spans="1:8" x14ac:dyDescent="0.3">
      <c r="A60" t="s">
        <v>50</v>
      </c>
      <c r="B60" t="s">
        <v>140</v>
      </c>
      <c r="C60" t="s">
        <v>226</v>
      </c>
      <c r="D60" t="s">
        <v>234</v>
      </c>
      <c r="G60" t="s">
        <v>243</v>
      </c>
      <c r="H60" t="s">
        <v>246</v>
      </c>
    </row>
    <row r="61" spans="1:8" x14ac:dyDescent="0.3">
      <c r="A61" t="s">
        <v>38</v>
      </c>
      <c r="B61" t="s">
        <v>141</v>
      </c>
      <c r="C61" t="s">
        <v>225</v>
      </c>
      <c r="D61" t="s">
        <v>233</v>
      </c>
      <c r="E61">
        <v>7</v>
      </c>
      <c r="G61" t="s">
        <v>238</v>
      </c>
      <c r="H61" t="s">
        <v>246</v>
      </c>
    </row>
    <row r="62" spans="1:8" x14ac:dyDescent="0.3">
      <c r="A62" t="s">
        <v>36</v>
      </c>
      <c r="B62" t="s">
        <v>142</v>
      </c>
      <c r="C62" t="s">
        <v>224</v>
      </c>
      <c r="D62" t="s">
        <v>234</v>
      </c>
      <c r="E62">
        <v>5</v>
      </c>
      <c r="F62">
        <v>37006</v>
      </c>
      <c r="G62" t="s">
        <v>237</v>
      </c>
      <c r="H62" t="s">
        <v>246</v>
      </c>
    </row>
    <row r="63" spans="1:8" x14ac:dyDescent="0.3">
      <c r="A63" t="s">
        <v>51</v>
      </c>
      <c r="B63" t="s">
        <v>143</v>
      </c>
      <c r="C63" t="s">
        <v>226</v>
      </c>
      <c r="D63" t="s">
        <v>233</v>
      </c>
      <c r="E63">
        <v>7</v>
      </c>
      <c r="F63">
        <v>59359</v>
      </c>
      <c r="G63" t="s">
        <v>236</v>
      </c>
      <c r="H63" t="s">
        <v>247</v>
      </c>
    </row>
    <row r="64" spans="1:8" x14ac:dyDescent="0.3">
      <c r="A64" t="s">
        <v>52</v>
      </c>
      <c r="B64" t="s">
        <v>144</v>
      </c>
      <c r="C64" t="s">
        <v>224</v>
      </c>
      <c r="D64" t="s">
        <v>233</v>
      </c>
      <c r="E64">
        <v>4</v>
      </c>
      <c r="F64">
        <v>43313</v>
      </c>
      <c r="G64" t="s">
        <v>237</v>
      </c>
      <c r="H64" t="s">
        <v>246</v>
      </c>
    </row>
    <row r="65" spans="1:8" x14ac:dyDescent="0.3">
      <c r="A65" t="s">
        <v>46</v>
      </c>
      <c r="B65" t="s">
        <v>145</v>
      </c>
      <c r="C65" t="s">
        <v>228</v>
      </c>
      <c r="D65" t="s">
        <v>232</v>
      </c>
      <c r="E65">
        <v>1</v>
      </c>
      <c r="G65" t="s">
        <v>244</v>
      </c>
      <c r="H65" t="s">
        <v>248</v>
      </c>
    </row>
    <row r="66" spans="1:8" x14ac:dyDescent="0.3">
      <c r="A66" t="s">
        <v>53</v>
      </c>
      <c r="B66" t="s">
        <v>146</v>
      </c>
      <c r="C66" t="s">
        <v>227</v>
      </c>
      <c r="D66" t="s">
        <v>230</v>
      </c>
      <c r="E66">
        <v>5</v>
      </c>
      <c r="G66" t="s">
        <v>245</v>
      </c>
      <c r="H66" t="s">
        <v>247</v>
      </c>
    </row>
    <row r="67" spans="1:8" x14ac:dyDescent="0.3">
      <c r="A67" t="s">
        <v>54</v>
      </c>
      <c r="B67" t="s">
        <v>147</v>
      </c>
      <c r="C67" t="s">
        <v>229</v>
      </c>
      <c r="D67" t="s">
        <v>231</v>
      </c>
      <c r="E67">
        <v>4</v>
      </c>
      <c r="F67">
        <v>44196</v>
      </c>
      <c r="G67" t="s">
        <v>237</v>
      </c>
      <c r="H67" t="s">
        <v>248</v>
      </c>
    </row>
    <row r="68" spans="1:8" x14ac:dyDescent="0.3">
      <c r="A68" t="s">
        <v>44</v>
      </c>
      <c r="B68" t="s">
        <v>148</v>
      </c>
      <c r="C68" t="s">
        <v>224</v>
      </c>
      <c r="D68" t="s">
        <v>231</v>
      </c>
      <c r="E68">
        <v>9</v>
      </c>
      <c r="G68" t="s">
        <v>242</v>
      </c>
      <c r="H68" t="s">
        <v>246</v>
      </c>
    </row>
    <row r="69" spans="1:8" x14ac:dyDescent="0.3">
      <c r="A69" t="s">
        <v>37</v>
      </c>
      <c r="B69" t="s">
        <v>149</v>
      </c>
      <c r="C69" t="s">
        <v>227</v>
      </c>
      <c r="D69" t="s">
        <v>233</v>
      </c>
      <c r="F69">
        <v>81095</v>
      </c>
      <c r="G69" t="s">
        <v>236</v>
      </c>
      <c r="H69" t="s">
        <v>248</v>
      </c>
    </row>
    <row r="70" spans="1:8" x14ac:dyDescent="0.3">
      <c r="A70" t="s">
        <v>55</v>
      </c>
      <c r="B70" t="s">
        <v>150</v>
      </c>
      <c r="C70" t="s">
        <v>227</v>
      </c>
      <c r="D70" t="s">
        <v>232</v>
      </c>
      <c r="E70">
        <v>2</v>
      </c>
      <c r="G70" t="s">
        <v>243</v>
      </c>
      <c r="H70" t="s">
        <v>247</v>
      </c>
    </row>
    <row r="71" spans="1:8" x14ac:dyDescent="0.3">
      <c r="A71" t="s">
        <v>56</v>
      </c>
      <c r="B71" t="s">
        <v>151</v>
      </c>
      <c r="C71" t="s">
        <v>227</v>
      </c>
      <c r="D71" t="s">
        <v>233</v>
      </c>
      <c r="G71" t="s">
        <v>236</v>
      </c>
      <c r="H71" t="s">
        <v>246</v>
      </c>
    </row>
    <row r="72" spans="1:8" x14ac:dyDescent="0.3">
      <c r="A72" t="s">
        <v>57</v>
      </c>
      <c r="B72" t="s">
        <v>152</v>
      </c>
      <c r="C72" t="s">
        <v>225</v>
      </c>
      <c r="D72" t="s">
        <v>230</v>
      </c>
      <c r="E72">
        <v>7</v>
      </c>
      <c r="F72">
        <v>85651</v>
      </c>
      <c r="G72" t="s">
        <v>239</v>
      </c>
      <c r="H72" t="s">
        <v>246</v>
      </c>
    </row>
    <row r="73" spans="1:8" x14ac:dyDescent="0.3">
      <c r="A73" t="s">
        <v>23</v>
      </c>
      <c r="B73" t="s">
        <v>153</v>
      </c>
      <c r="C73" t="s">
        <v>227</v>
      </c>
      <c r="D73" t="s">
        <v>233</v>
      </c>
      <c r="G73" t="s">
        <v>240</v>
      </c>
      <c r="H73" t="s">
        <v>248</v>
      </c>
    </row>
    <row r="74" spans="1:8" x14ac:dyDescent="0.3">
      <c r="A74" t="s">
        <v>29</v>
      </c>
      <c r="B74" t="s">
        <v>154</v>
      </c>
      <c r="C74" t="s">
        <v>229</v>
      </c>
      <c r="D74" t="s">
        <v>230</v>
      </c>
      <c r="E74">
        <v>5</v>
      </c>
      <c r="F74">
        <v>39344</v>
      </c>
      <c r="G74" t="s">
        <v>240</v>
      </c>
      <c r="H74" t="s">
        <v>248</v>
      </c>
    </row>
    <row r="75" spans="1:8" x14ac:dyDescent="0.3">
      <c r="A75" t="s">
        <v>58</v>
      </c>
      <c r="B75" t="s">
        <v>155</v>
      </c>
      <c r="C75" t="s">
        <v>229</v>
      </c>
      <c r="D75" t="s">
        <v>232</v>
      </c>
      <c r="E75">
        <v>7</v>
      </c>
      <c r="G75" t="s">
        <v>244</v>
      </c>
      <c r="H75" t="s">
        <v>246</v>
      </c>
    </row>
    <row r="76" spans="1:8" x14ac:dyDescent="0.3">
      <c r="A76" t="s">
        <v>59</v>
      </c>
      <c r="B76" t="s">
        <v>156</v>
      </c>
      <c r="C76" t="s">
        <v>228</v>
      </c>
      <c r="D76" t="s">
        <v>232</v>
      </c>
      <c r="E76">
        <v>4</v>
      </c>
      <c r="F76">
        <v>3629</v>
      </c>
      <c r="G76" t="s">
        <v>237</v>
      </c>
      <c r="H76" t="s">
        <v>248</v>
      </c>
    </row>
    <row r="77" spans="1:8" x14ac:dyDescent="0.3">
      <c r="A77" t="s">
        <v>56</v>
      </c>
      <c r="B77" t="s">
        <v>157</v>
      </c>
      <c r="C77" t="s">
        <v>226</v>
      </c>
      <c r="D77" t="s">
        <v>234</v>
      </c>
      <c r="E77">
        <v>9</v>
      </c>
      <c r="G77" t="s">
        <v>243</v>
      </c>
      <c r="H77" t="s">
        <v>248</v>
      </c>
    </row>
    <row r="78" spans="1:8" x14ac:dyDescent="0.3">
      <c r="A78" t="s">
        <v>49</v>
      </c>
      <c r="B78" t="s">
        <v>158</v>
      </c>
      <c r="C78" t="s">
        <v>225</v>
      </c>
      <c r="D78" t="s">
        <v>231</v>
      </c>
      <c r="E78">
        <v>6</v>
      </c>
      <c r="F78">
        <v>69467</v>
      </c>
      <c r="G78" t="s">
        <v>244</v>
      </c>
      <c r="H78" t="s">
        <v>248</v>
      </c>
    </row>
    <row r="79" spans="1:8" x14ac:dyDescent="0.3">
      <c r="A79" t="s">
        <v>46</v>
      </c>
      <c r="B79" t="s">
        <v>159</v>
      </c>
      <c r="C79" t="s">
        <v>227</v>
      </c>
      <c r="D79" t="s">
        <v>233</v>
      </c>
      <c r="E79">
        <v>1</v>
      </c>
      <c r="G79" t="s">
        <v>244</v>
      </c>
      <c r="H79" t="s">
        <v>246</v>
      </c>
    </row>
    <row r="80" spans="1:8" x14ac:dyDescent="0.3">
      <c r="A80" t="s">
        <v>58</v>
      </c>
      <c r="B80" t="s">
        <v>160</v>
      </c>
      <c r="C80" t="s">
        <v>225</v>
      </c>
      <c r="D80" t="s">
        <v>230</v>
      </c>
      <c r="F80">
        <v>42245</v>
      </c>
      <c r="G80" t="s">
        <v>240</v>
      </c>
      <c r="H80" t="s">
        <v>246</v>
      </c>
    </row>
    <row r="81" spans="1:8" x14ac:dyDescent="0.3">
      <c r="A81" t="s">
        <v>60</v>
      </c>
      <c r="B81" t="s">
        <v>161</v>
      </c>
      <c r="C81" t="s">
        <v>225</v>
      </c>
      <c r="D81" t="s">
        <v>232</v>
      </c>
      <c r="G81" t="s">
        <v>238</v>
      </c>
      <c r="H81" t="s">
        <v>248</v>
      </c>
    </row>
    <row r="82" spans="1:8" x14ac:dyDescent="0.3">
      <c r="A82" t="s">
        <v>61</v>
      </c>
      <c r="B82" t="s">
        <v>162</v>
      </c>
      <c r="C82" t="s">
        <v>228</v>
      </c>
      <c r="D82" t="s">
        <v>233</v>
      </c>
      <c r="E82">
        <v>10</v>
      </c>
      <c r="G82" t="s">
        <v>245</v>
      </c>
      <c r="H82" t="s">
        <v>247</v>
      </c>
    </row>
    <row r="83" spans="1:8" x14ac:dyDescent="0.3">
      <c r="A83" t="s">
        <v>62</v>
      </c>
      <c r="B83" t="s">
        <v>163</v>
      </c>
      <c r="C83" t="s">
        <v>227</v>
      </c>
      <c r="D83" t="s">
        <v>232</v>
      </c>
      <c r="G83" t="s">
        <v>239</v>
      </c>
      <c r="H83" t="s">
        <v>247</v>
      </c>
    </row>
    <row r="84" spans="1:8" x14ac:dyDescent="0.3">
      <c r="A84" t="s">
        <v>18</v>
      </c>
      <c r="B84" t="s">
        <v>102</v>
      </c>
      <c r="C84" t="s">
        <v>227</v>
      </c>
      <c r="D84" t="s">
        <v>235</v>
      </c>
      <c r="F84">
        <v>22712</v>
      </c>
      <c r="G84" t="s">
        <v>241</v>
      </c>
      <c r="H84" t="s">
        <v>248</v>
      </c>
    </row>
    <row r="85" spans="1:8" x14ac:dyDescent="0.3">
      <c r="A85" t="s">
        <v>9</v>
      </c>
      <c r="B85" t="s">
        <v>164</v>
      </c>
      <c r="C85" t="s">
        <v>224</v>
      </c>
      <c r="D85" t="s">
        <v>233</v>
      </c>
      <c r="F85">
        <v>51317</v>
      </c>
      <c r="G85" t="s">
        <v>242</v>
      </c>
      <c r="H85" t="s">
        <v>246</v>
      </c>
    </row>
    <row r="86" spans="1:8" x14ac:dyDescent="0.3">
      <c r="A86" t="s">
        <v>32</v>
      </c>
      <c r="B86" t="s">
        <v>165</v>
      </c>
      <c r="C86" t="s">
        <v>225</v>
      </c>
      <c r="D86" t="s">
        <v>232</v>
      </c>
      <c r="E86">
        <v>6</v>
      </c>
      <c r="F86">
        <v>29216</v>
      </c>
      <c r="G86" t="s">
        <v>245</v>
      </c>
      <c r="H86" t="s">
        <v>248</v>
      </c>
    </row>
    <row r="87" spans="1:8" x14ac:dyDescent="0.3">
      <c r="A87" t="s">
        <v>63</v>
      </c>
      <c r="B87" t="s">
        <v>166</v>
      </c>
      <c r="C87" t="s">
        <v>229</v>
      </c>
      <c r="D87" t="s">
        <v>231</v>
      </c>
      <c r="G87" t="s">
        <v>237</v>
      </c>
      <c r="H87" t="s">
        <v>246</v>
      </c>
    </row>
    <row r="88" spans="1:8" x14ac:dyDescent="0.3">
      <c r="A88" t="s">
        <v>41</v>
      </c>
      <c r="B88" t="s">
        <v>167</v>
      </c>
      <c r="C88" t="s">
        <v>228</v>
      </c>
      <c r="D88" t="s">
        <v>232</v>
      </c>
      <c r="E88">
        <v>4</v>
      </c>
      <c r="F88">
        <v>3509</v>
      </c>
      <c r="G88" t="s">
        <v>236</v>
      </c>
      <c r="H88" t="s">
        <v>246</v>
      </c>
    </row>
    <row r="89" spans="1:8" x14ac:dyDescent="0.3">
      <c r="A89" t="s">
        <v>38</v>
      </c>
      <c r="B89" t="s">
        <v>168</v>
      </c>
      <c r="C89" t="s">
        <v>228</v>
      </c>
      <c r="D89" t="s">
        <v>232</v>
      </c>
      <c r="F89">
        <v>76095</v>
      </c>
      <c r="G89" t="s">
        <v>245</v>
      </c>
      <c r="H89" t="s">
        <v>247</v>
      </c>
    </row>
    <row r="90" spans="1:8" x14ac:dyDescent="0.3">
      <c r="A90" t="s">
        <v>20</v>
      </c>
      <c r="B90" t="s">
        <v>169</v>
      </c>
      <c r="C90" t="s">
        <v>224</v>
      </c>
      <c r="D90" t="s">
        <v>231</v>
      </c>
      <c r="E90">
        <v>7</v>
      </c>
      <c r="F90">
        <v>52219</v>
      </c>
      <c r="G90" t="s">
        <v>245</v>
      </c>
      <c r="H90" t="s">
        <v>246</v>
      </c>
    </row>
    <row r="91" spans="1:8" x14ac:dyDescent="0.3">
      <c r="A91" t="s">
        <v>64</v>
      </c>
      <c r="B91" t="s">
        <v>170</v>
      </c>
      <c r="C91" t="s">
        <v>228</v>
      </c>
      <c r="D91" t="s">
        <v>235</v>
      </c>
      <c r="E91">
        <v>9</v>
      </c>
      <c r="F91">
        <v>39296</v>
      </c>
      <c r="G91" t="s">
        <v>244</v>
      </c>
      <c r="H91" t="s">
        <v>248</v>
      </c>
    </row>
    <row r="92" spans="1:8" x14ac:dyDescent="0.3">
      <c r="A92" t="s">
        <v>9</v>
      </c>
      <c r="B92" t="s">
        <v>171</v>
      </c>
      <c r="C92" t="s">
        <v>227</v>
      </c>
      <c r="D92" t="s">
        <v>232</v>
      </c>
      <c r="G92" t="s">
        <v>241</v>
      </c>
      <c r="H92" t="s">
        <v>247</v>
      </c>
    </row>
    <row r="93" spans="1:8" x14ac:dyDescent="0.3">
      <c r="A93" t="s">
        <v>34</v>
      </c>
      <c r="B93" t="s">
        <v>172</v>
      </c>
      <c r="C93" t="s">
        <v>225</v>
      </c>
      <c r="D93" t="s">
        <v>235</v>
      </c>
      <c r="G93" t="s">
        <v>242</v>
      </c>
      <c r="H93" t="s">
        <v>248</v>
      </c>
    </row>
    <row r="94" spans="1:8" x14ac:dyDescent="0.3">
      <c r="A94" t="s">
        <v>65</v>
      </c>
      <c r="B94" t="s">
        <v>173</v>
      </c>
      <c r="C94" t="s">
        <v>226</v>
      </c>
      <c r="D94" t="s">
        <v>234</v>
      </c>
      <c r="F94">
        <v>37711</v>
      </c>
      <c r="G94" t="s">
        <v>244</v>
      </c>
      <c r="H94" t="s">
        <v>247</v>
      </c>
    </row>
    <row r="95" spans="1:8" x14ac:dyDescent="0.3">
      <c r="A95" t="s">
        <v>66</v>
      </c>
      <c r="B95" t="s">
        <v>174</v>
      </c>
      <c r="C95" t="s">
        <v>224</v>
      </c>
      <c r="D95" t="s">
        <v>231</v>
      </c>
      <c r="F95">
        <v>12794</v>
      </c>
      <c r="G95" t="s">
        <v>244</v>
      </c>
      <c r="H95" t="s">
        <v>248</v>
      </c>
    </row>
    <row r="96" spans="1:8" x14ac:dyDescent="0.3">
      <c r="A96" t="s">
        <v>9</v>
      </c>
      <c r="B96" t="s">
        <v>175</v>
      </c>
      <c r="C96" t="s">
        <v>227</v>
      </c>
      <c r="D96" t="s">
        <v>235</v>
      </c>
      <c r="E96">
        <v>4</v>
      </c>
      <c r="F96">
        <v>38501</v>
      </c>
      <c r="G96" t="s">
        <v>238</v>
      </c>
      <c r="H96" t="s">
        <v>248</v>
      </c>
    </row>
    <row r="97" spans="1:8" x14ac:dyDescent="0.3">
      <c r="A97" t="s">
        <v>67</v>
      </c>
      <c r="B97" t="s">
        <v>176</v>
      </c>
      <c r="C97" t="s">
        <v>229</v>
      </c>
      <c r="D97" t="s">
        <v>230</v>
      </c>
      <c r="F97">
        <v>17041</v>
      </c>
      <c r="G97" t="s">
        <v>236</v>
      </c>
      <c r="H97" t="s">
        <v>248</v>
      </c>
    </row>
    <row r="98" spans="1:8" x14ac:dyDescent="0.3">
      <c r="A98" t="s">
        <v>56</v>
      </c>
      <c r="B98" t="s">
        <v>177</v>
      </c>
      <c r="C98" t="s">
        <v>224</v>
      </c>
      <c r="D98" t="s">
        <v>233</v>
      </c>
      <c r="E98">
        <v>9</v>
      </c>
      <c r="F98">
        <v>85766</v>
      </c>
      <c r="G98" t="s">
        <v>240</v>
      </c>
      <c r="H98" t="s">
        <v>246</v>
      </c>
    </row>
    <row r="99" spans="1:8" x14ac:dyDescent="0.3">
      <c r="A99" t="s">
        <v>21</v>
      </c>
      <c r="B99" t="s">
        <v>178</v>
      </c>
      <c r="C99" t="s">
        <v>227</v>
      </c>
      <c r="D99" t="s">
        <v>235</v>
      </c>
      <c r="F99">
        <v>67861</v>
      </c>
      <c r="G99" t="s">
        <v>237</v>
      </c>
      <c r="H99" t="s">
        <v>248</v>
      </c>
    </row>
    <row r="100" spans="1:8" x14ac:dyDescent="0.3">
      <c r="A100" t="s">
        <v>56</v>
      </c>
      <c r="B100" t="s">
        <v>87</v>
      </c>
      <c r="C100" t="s">
        <v>229</v>
      </c>
      <c r="D100" t="s">
        <v>230</v>
      </c>
      <c r="G100" t="s">
        <v>241</v>
      </c>
      <c r="H100" t="s">
        <v>246</v>
      </c>
    </row>
    <row r="101" spans="1:8" x14ac:dyDescent="0.3">
      <c r="A101" t="s">
        <v>68</v>
      </c>
      <c r="B101" t="s">
        <v>179</v>
      </c>
      <c r="C101" t="s">
        <v>227</v>
      </c>
      <c r="D101" t="s">
        <v>231</v>
      </c>
      <c r="F101">
        <v>41179</v>
      </c>
      <c r="G101" t="s">
        <v>243</v>
      </c>
      <c r="H101" t="s">
        <v>248</v>
      </c>
    </row>
    <row r="102" spans="1:8" x14ac:dyDescent="0.3">
      <c r="A102" t="s">
        <v>17</v>
      </c>
      <c r="B102" t="s">
        <v>180</v>
      </c>
      <c r="C102" t="s">
        <v>224</v>
      </c>
      <c r="D102" t="s">
        <v>234</v>
      </c>
      <c r="E102">
        <v>3</v>
      </c>
      <c r="G102" t="s">
        <v>238</v>
      </c>
      <c r="H102" t="s">
        <v>246</v>
      </c>
    </row>
    <row r="103" spans="1:8" x14ac:dyDescent="0.3">
      <c r="A103" t="s">
        <v>68</v>
      </c>
      <c r="B103" t="s">
        <v>181</v>
      </c>
      <c r="C103" t="s">
        <v>229</v>
      </c>
      <c r="D103" t="s">
        <v>231</v>
      </c>
      <c r="G103" t="s">
        <v>244</v>
      </c>
      <c r="H103" t="s">
        <v>247</v>
      </c>
    </row>
    <row r="104" spans="1:8" x14ac:dyDescent="0.3">
      <c r="A104" t="s">
        <v>57</v>
      </c>
      <c r="B104" t="s">
        <v>182</v>
      </c>
      <c r="C104" t="s">
        <v>229</v>
      </c>
      <c r="D104" t="s">
        <v>234</v>
      </c>
      <c r="G104" t="s">
        <v>242</v>
      </c>
      <c r="H104" t="s">
        <v>247</v>
      </c>
    </row>
    <row r="105" spans="1:8" x14ac:dyDescent="0.3">
      <c r="A105" t="s">
        <v>51</v>
      </c>
      <c r="B105" t="s">
        <v>183</v>
      </c>
      <c r="C105" t="s">
        <v>224</v>
      </c>
      <c r="D105" t="s">
        <v>232</v>
      </c>
      <c r="E105">
        <v>10</v>
      </c>
      <c r="G105" t="s">
        <v>241</v>
      </c>
      <c r="H105" t="s">
        <v>248</v>
      </c>
    </row>
    <row r="106" spans="1:8" x14ac:dyDescent="0.3">
      <c r="A106" t="s">
        <v>69</v>
      </c>
      <c r="B106" t="s">
        <v>184</v>
      </c>
      <c r="C106" t="s">
        <v>225</v>
      </c>
      <c r="D106" t="s">
        <v>234</v>
      </c>
      <c r="F106">
        <v>78574</v>
      </c>
      <c r="G106" t="s">
        <v>237</v>
      </c>
      <c r="H106" t="s">
        <v>246</v>
      </c>
    </row>
    <row r="107" spans="1:8" x14ac:dyDescent="0.3">
      <c r="A107" t="s">
        <v>44</v>
      </c>
      <c r="B107" t="s">
        <v>185</v>
      </c>
      <c r="C107" t="s">
        <v>228</v>
      </c>
      <c r="D107" t="s">
        <v>230</v>
      </c>
      <c r="E107">
        <v>4</v>
      </c>
      <c r="F107">
        <v>25936</v>
      </c>
      <c r="G107" t="s">
        <v>238</v>
      </c>
      <c r="H107" t="s">
        <v>248</v>
      </c>
    </row>
    <row r="108" spans="1:8" x14ac:dyDescent="0.3">
      <c r="A108" t="s">
        <v>31</v>
      </c>
      <c r="B108" t="s">
        <v>186</v>
      </c>
      <c r="C108" t="s">
        <v>228</v>
      </c>
      <c r="D108" t="s">
        <v>230</v>
      </c>
      <c r="G108" t="s">
        <v>238</v>
      </c>
      <c r="H108" t="s">
        <v>246</v>
      </c>
    </row>
    <row r="109" spans="1:8" x14ac:dyDescent="0.3">
      <c r="A109" t="s">
        <v>70</v>
      </c>
      <c r="B109" t="s">
        <v>187</v>
      </c>
      <c r="C109" t="s">
        <v>226</v>
      </c>
      <c r="D109" t="s">
        <v>234</v>
      </c>
      <c r="E109">
        <v>9</v>
      </c>
      <c r="G109" t="s">
        <v>237</v>
      </c>
      <c r="H109" t="s">
        <v>246</v>
      </c>
    </row>
    <row r="110" spans="1:8" x14ac:dyDescent="0.3">
      <c r="A110" t="s">
        <v>60</v>
      </c>
      <c r="B110" t="s">
        <v>188</v>
      </c>
      <c r="C110" t="s">
        <v>228</v>
      </c>
      <c r="D110" t="s">
        <v>230</v>
      </c>
      <c r="G110" t="s">
        <v>236</v>
      </c>
      <c r="H110" t="s">
        <v>248</v>
      </c>
    </row>
    <row r="111" spans="1:8" x14ac:dyDescent="0.3">
      <c r="A111" t="s">
        <v>33</v>
      </c>
      <c r="B111" t="s">
        <v>189</v>
      </c>
      <c r="C111" t="s">
        <v>226</v>
      </c>
      <c r="D111" t="s">
        <v>234</v>
      </c>
      <c r="E111">
        <v>6</v>
      </c>
      <c r="F111">
        <v>49346</v>
      </c>
      <c r="G111" t="s">
        <v>240</v>
      </c>
      <c r="H111" t="s">
        <v>248</v>
      </c>
    </row>
    <row r="112" spans="1:8" x14ac:dyDescent="0.3">
      <c r="A112" t="s">
        <v>71</v>
      </c>
      <c r="B112" t="s">
        <v>190</v>
      </c>
      <c r="C112" t="s">
        <v>229</v>
      </c>
      <c r="D112" t="s">
        <v>233</v>
      </c>
      <c r="F112">
        <v>56378</v>
      </c>
      <c r="G112" t="s">
        <v>244</v>
      </c>
      <c r="H112" t="s">
        <v>248</v>
      </c>
    </row>
    <row r="113" spans="1:8" x14ac:dyDescent="0.3">
      <c r="A113" t="s">
        <v>52</v>
      </c>
      <c r="B113" t="s">
        <v>191</v>
      </c>
      <c r="C113" t="s">
        <v>224</v>
      </c>
      <c r="D113" t="s">
        <v>232</v>
      </c>
      <c r="E113">
        <v>7</v>
      </c>
      <c r="G113" t="s">
        <v>238</v>
      </c>
      <c r="H113" t="s">
        <v>247</v>
      </c>
    </row>
    <row r="114" spans="1:8" x14ac:dyDescent="0.3">
      <c r="A114" t="s">
        <v>36</v>
      </c>
      <c r="B114" t="s">
        <v>192</v>
      </c>
      <c r="C114" t="s">
        <v>228</v>
      </c>
      <c r="D114" t="s">
        <v>231</v>
      </c>
      <c r="E114">
        <v>3</v>
      </c>
      <c r="G114" t="s">
        <v>242</v>
      </c>
      <c r="H114" t="s">
        <v>247</v>
      </c>
    </row>
    <row r="115" spans="1:8" x14ac:dyDescent="0.3">
      <c r="A115" t="s">
        <v>72</v>
      </c>
      <c r="B115" t="s">
        <v>152</v>
      </c>
      <c r="C115" t="s">
        <v>227</v>
      </c>
      <c r="D115" t="s">
        <v>235</v>
      </c>
      <c r="G115" t="s">
        <v>245</v>
      </c>
      <c r="H115" t="s">
        <v>248</v>
      </c>
    </row>
    <row r="116" spans="1:8" x14ac:dyDescent="0.3">
      <c r="A116" t="s">
        <v>73</v>
      </c>
      <c r="B116" t="s">
        <v>193</v>
      </c>
      <c r="C116" t="s">
        <v>225</v>
      </c>
      <c r="D116" t="s">
        <v>231</v>
      </c>
      <c r="F116">
        <v>8624</v>
      </c>
      <c r="G116" t="s">
        <v>243</v>
      </c>
      <c r="H116" t="s">
        <v>247</v>
      </c>
    </row>
    <row r="117" spans="1:8" x14ac:dyDescent="0.3">
      <c r="A117" t="s">
        <v>26</v>
      </c>
      <c r="B117" t="s">
        <v>194</v>
      </c>
      <c r="C117" t="s">
        <v>227</v>
      </c>
      <c r="D117" t="s">
        <v>233</v>
      </c>
      <c r="F117">
        <v>77730</v>
      </c>
      <c r="G117" t="s">
        <v>238</v>
      </c>
      <c r="H117" t="s">
        <v>248</v>
      </c>
    </row>
    <row r="118" spans="1:8" x14ac:dyDescent="0.3">
      <c r="A118" t="s">
        <v>74</v>
      </c>
      <c r="B118" t="s">
        <v>195</v>
      </c>
      <c r="C118" t="s">
        <v>229</v>
      </c>
      <c r="D118" t="s">
        <v>232</v>
      </c>
      <c r="E118">
        <v>2</v>
      </c>
      <c r="G118" t="s">
        <v>240</v>
      </c>
      <c r="H118" t="s">
        <v>248</v>
      </c>
    </row>
    <row r="119" spans="1:8" x14ac:dyDescent="0.3">
      <c r="A119" t="s">
        <v>20</v>
      </c>
      <c r="B119" t="s">
        <v>196</v>
      </c>
      <c r="C119" t="s">
        <v>228</v>
      </c>
      <c r="D119" t="s">
        <v>230</v>
      </c>
      <c r="E119">
        <v>6</v>
      </c>
      <c r="F119">
        <v>58867</v>
      </c>
      <c r="G119" t="s">
        <v>245</v>
      </c>
      <c r="H119" t="s">
        <v>248</v>
      </c>
    </row>
    <row r="120" spans="1:8" x14ac:dyDescent="0.3">
      <c r="A120" t="s">
        <v>75</v>
      </c>
      <c r="B120" t="s">
        <v>197</v>
      </c>
      <c r="C120" t="s">
        <v>229</v>
      </c>
      <c r="D120" t="s">
        <v>231</v>
      </c>
      <c r="E120">
        <v>6</v>
      </c>
      <c r="F120">
        <v>41460</v>
      </c>
      <c r="G120" t="s">
        <v>239</v>
      </c>
      <c r="H120" t="s">
        <v>248</v>
      </c>
    </row>
    <row r="121" spans="1:8" x14ac:dyDescent="0.3">
      <c r="A121" t="s">
        <v>76</v>
      </c>
      <c r="B121" t="s">
        <v>198</v>
      </c>
      <c r="C121" t="s">
        <v>228</v>
      </c>
      <c r="D121" t="s">
        <v>235</v>
      </c>
      <c r="F121">
        <v>54007</v>
      </c>
      <c r="G121" t="s">
        <v>243</v>
      </c>
      <c r="H121" t="s">
        <v>246</v>
      </c>
    </row>
    <row r="122" spans="1:8" x14ac:dyDescent="0.3">
      <c r="A122" t="s">
        <v>62</v>
      </c>
      <c r="B122" t="s">
        <v>199</v>
      </c>
      <c r="C122" t="s">
        <v>225</v>
      </c>
      <c r="D122" t="s">
        <v>232</v>
      </c>
      <c r="E122">
        <v>3</v>
      </c>
      <c r="G122" t="s">
        <v>244</v>
      </c>
      <c r="H122" t="s">
        <v>246</v>
      </c>
    </row>
    <row r="123" spans="1:8" x14ac:dyDescent="0.3">
      <c r="A123" t="s">
        <v>29</v>
      </c>
      <c r="B123" t="s">
        <v>200</v>
      </c>
      <c r="C123" t="s">
        <v>225</v>
      </c>
      <c r="D123" t="s">
        <v>230</v>
      </c>
      <c r="E123">
        <v>4</v>
      </c>
      <c r="F123">
        <v>4519</v>
      </c>
      <c r="G123" t="s">
        <v>238</v>
      </c>
      <c r="H123" t="s">
        <v>248</v>
      </c>
    </row>
    <row r="124" spans="1:8" x14ac:dyDescent="0.3">
      <c r="A124" t="s">
        <v>77</v>
      </c>
      <c r="B124" t="s">
        <v>201</v>
      </c>
      <c r="C124" t="s">
        <v>228</v>
      </c>
      <c r="D124" t="s">
        <v>230</v>
      </c>
      <c r="E124">
        <v>5</v>
      </c>
      <c r="G124" t="s">
        <v>241</v>
      </c>
      <c r="H124" t="s">
        <v>247</v>
      </c>
    </row>
    <row r="125" spans="1:8" x14ac:dyDescent="0.3">
      <c r="A125" t="s">
        <v>78</v>
      </c>
      <c r="B125" t="s">
        <v>202</v>
      </c>
      <c r="C125" t="s">
        <v>225</v>
      </c>
      <c r="D125" t="s">
        <v>230</v>
      </c>
      <c r="F125">
        <v>59243</v>
      </c>
      <c r="G125" t="s">
        <v>239</v>
      </c>
      <c r="H125" t="s">
        <v>248</v>
      </c>
    </row>
    <row r="126" spans="1:8" x14ac:dyDescent="0.3">
      <c r="A126" t="s">
        <v>79</v>
      </c>
      <c r="B126" t="s">
        <v>203</v>
      </c>
      <c r="C126" t="s">
        <v>227</v>
      </c>
      <c r="D126" t="s">
        <v>232</v>
      </c>
      <c r="E126">
        <v>2</v>
      </c>
      <c r="F126">
        <v>70674</v>
      </c>
      <c r="G126" t="s">
        <v>239</v>
      </c>
      <c r="H126" t="s">
        <v>246</v>
      </c>
    </row>
    <row r="127" spans="1:8" x14ac:dyDescent="0.3">
      <c r="A127" t="s">
        <v>80</v>
      </c>
      <c r="B127" t="s">
        <v>204</v>
      </c>
      <c r="C127" t="s">
        <v>227</v>
      </c>
      <c r="D127" t="s">
        <v>232</v>
      </c>
      <c r="E127">
        <v>2</v>
      </c>
      <c r="G127" t="s">
        <v>237</v>
      </c>
      <c r="H127" t="s">
        <v>248</v>
      </c>
    </row>
    <row r="128" spans="1:8" x14ac:dyDescent="0.3">
      <c r="A128" t="s">
        <v>50</v>
      </c>
      <c r="B128" t="s">
        <v>191</v>
      </c>
      <c r="C128" t="s">
        <v>224</v>
      </c>
      <c r="D128" t="s">
        <v>230</v>
      </c>
      <c r="F128">
        <v>35128</v>
      </c>
      <c r="G128" t="s">
        <v>237</v>
      </c>
      <c r="H128" t="s">
        <v>248</v>
      </c>
    </row>
    <row r="129" spans="1:8" x14ac:dyDescent="0.3">
      <c r="A129" t="s">
        <v>15</v>
      </c>
      <c r="B129" t="s">
        <v>205</v>
      </c>
      <c r="C129" t="s">
        <v>227</v>
      </c>
      <c r="D129" t="s">
        <v>233</v>
      </c>
      <c r="F129">
        <v>30968</v>
      </c>
      <c r="G129" t="s">
        <v>239</v>
      </c>
      <c r="H129" t="s">
        <v>248</v>
      </c>
    </row>
    <row r="130" spans="1:8" x14ac:dyDescent="0.3">
      <c r="A130" t="s">
        <v>68</v>
      </c>
      <c r="B130" t="s">
        <v>206</v>
      </c>
      <c r="C130" t="s">
        <v>225</v>
      </c>
      <c r="D130" t="s">
        <v>230</v>
      </c>
      <c r="G130" t="s">
        <v>236</v>
      </c>
      <c r="H130" t="s">
        <v>247</v>
      </c>
    </row>
    <row r="131" spans="1:8" x14ac:dyDescent="0.3">
      <c r="A131" t="s">
        <v>62</v>
      </c>
      <c r="B131" t="s">
        <v>207</v>
      </c>
      <c r="C131" t="s">
        <v>224</v>
      </c>
      <c r="D131" t="s">
        <v>230</v>
      </c>
      <c r="E131">
        <v>9</v>
      </c>
      <c r="G131" t="s">
        <v>242</v>
      </c>
      <c r="H131" t="s">
        <v>246</v>
      </c>
    </row>
    <row r="132" spans="1:8" x14ac:dyDescent="0.3">
      <c r="A132" t="s">
        <v>81</v>
      </c>
      <c r="B132" t="s">
        <v>208</v>
      </c>
      <c r="C132" t="s">
        <v>228</v>
      </c>
      <c r="D132" t="s">
        <v>231</v>
      </c>
      <c r="G132" t="s">
        <v>242</v>
      </c>
      <c r="H132" t="s">
        <v>248</v>
      </c>
    </row>
    <row r="133" spans="1:8" x14ac:dyDescent="0.3">
      <c r="A133" t="s">
        <v>24</v>
      </c>
      <c r="B133" t="s">
        <v>209</v>
      </c>
      <c r="C133" t="s">
        <v>224</v>
      </c>
      <c r="D133" t="s">
        <v>232</v>
      </c>
      <c r="F133">
        <v>16048</v>
      </c>
      <c r="G133" t="s">
        <v>237</v>
      </c>
      <c r="H133" t="s">
        <v>248</v>
      </c>
    </row>
    <row r="134" spans="1:8" x14ac:dyDescent="0.3">
      <c r="A134" t="s">
        <v>37</v>
      </c>
      <c r="B134" t="s">
        <v>210</v>
      </c>
      <c r="C134" t="s">
        <v>229</v>
      </c>
      <c r="D134" t="s">
        <v>235</v>
      </c>
      <c r="G134" t="s">
        <v>238</v>
      </c>
      <c r="H134" t="s">
        <v>246</v>
      </c>
    </row>
    <row r="135" spans="1:8" x14ac:dyDescent="0.3">
      <c r="A135" t="s">
        <v>14</v>
      </c>
      <c r="B135" t="s">
        <v>190</v>
      </c>
      <c r="C135" t="s">
        <v>228</v>
      </c>
      <c r="D135" t="s">
        <v>235</v>
      </c>
      <c r="G135" t="s">
        <v>236</v>
      </c>
      <c r="H135" t="s">
        <v>246</v>
      </c>
    </row>
    <row r="136" spans="1:8" x14ac:dyDescent="0.3">
      <c r="A136" t="s">
        <v>28</v>
      </c>
      <c r="B136" t="s">
        <v>211</v>
      </c>
      <c r="C136" t="s">
        <v>227</v>
      </c>
      <c r="D136" t="s">
        <v>230</v>
      </c>
      <c r="E136">
        <v>8</v>
      </c>
      <c r="F136">
        <v>49642</v>
      </c>
      <c r="G136" t="s">
        <v>241</v>
      </c>
      <c r="H136" t="s">
        <v>248</v>
      </c>
    </row>
    <row r="137" spans="1:8" x14ac:dyDescent="0.3">
      <c r="A137" t="s">
        <v>39</v>
      </c>
      <c r="B137" t="s">
        <v>212</v>
      </c>
      <c r="C137" t="s">
        <v>227</v>
      </c>
      <c r="D137" t="s">
        <v>232</v>
      </c>
      <c r="G137" t="s">
        <v>237</v>
      </c>
      <c r="H137" t="s">
        <v>247</v>
      </c>
    </row>
    <row r="138" spans="1:8" x14ac:dyDescent="0.3">
      <c r="A138" t="s">
        <v>38</v>
      </c>
      <c r="B138" t="s">
        <v>213</v>
      </c>
      <c r="C138" t="s">
        <v>224</v>
      </c>
      <c r="D138" t="s">
        <v>233</v>
      </c>
      <c r="G138" t="s">
        <v>241</v>
      </c>
      <c r="H138" t="s">
        <v>246</v>
      </c>
    </row>
    <row r="139" spans="1:8" x14ac:dyDescent="0.3">
      <c r="A139" t="s">
        <v>82</v>
      </c>
      <c r="B139" t="s">
        <v>214</v>
      </c>
      <c r="C139" t="s">
        <v>227</v>
      </c>
      <c r="D139" t="s">
        <v>233</v>
      </c>
      <c r="F139">
        <v>48220</v>
      </c>
      <c r="G139" t="s">
        <v>245</v>
      </c>
      <c r="H139" t="s">
        <v>246</v>
      </c>
    </row>
    <row r="140" spans="1:8" x14ac:dyDescent="0.3">
      <c r="A140" t="s">
        <v>54</v>
      </c>
      <c r="B140" t="s">
        <v>101</v>
      </c>
      <c r="C140" t="s">
        <v>229</v>
      </c>
      <c r="D140" t="s">
        <v>234</v>
      </c>
      <c r="E140">
        <v>8</v>
      </c>
      <c r="F140">
        <v>37708</v>
      </c>
      <c r="G140" t="s">
        <v>242</v>
      </c>
      <c r="H140" t="s">
        <v>248</v>
      </c>
    </row>
    <row r="141" spans="1:8" x14ac:dyDescent="0.3">
      <c r="A141" t="s">
        <v>49</v>
      </c>
      <c r="B141" t="s">
        <v>215</v>
      </c>
      <c r="C141" t="s">
        <v>224</v>
      </c>
      <c r="D141" t="s">
        <v>235</v>
      </c>
      <c r="E141">
        <v>4</v>
      </c>
      <c r="G141" t="s">
        <v>245</v>
      </c>
      <c r="H141" t="s">
        <v>247</v>
      </c>
    </row>
    <row r="142" spans="1:8" x14ac:dyDescent="0.3">
      <c r="A142" t="s">
        <v>81</v>
      </c>
      <c r="B142" t="s">
        <v>216</v>
      </c>
      <c r="C142" t="s">
        <v>228</v>
      </c>
      <c r="D142" t="s">
        <v>233</v>
      </c>
      <c r="E142">
        <v>6</v>
      </c>
      <c r="G142" t="s">
        <v>236</v>
      </c>
      <c r="H142" t="s">
        <v>246</v>
      </c>
    </row>
    <row r="143" spans="1:8" x14ac:dyDescent="0.3">
      <c r="A143" t="s">
        <v>48</v>
      </c>
      <c r="B143" t="s">
        <v>217</v>
      </c>
      <c r="C143" t="s">
        <v>229</v>
      </c>
      <c r="D143" t="s">
        <v>234</v>
      </c>
      <c r="E143">
        <v>1</v>
      </c>
      <c r="G143" t="s">
        <v>243</v>
      </c>
      <c r="H143" t="s">
        <v>246</v>
      </c>
    </row>
    <row r="144" spans="1:8" x14ac:dyDescent="0.3">
      <c r="A144" t="s">
        <v>27</v>
      </c>
      <c r="B144" t="s">
        <v>139</v>
      </c>
      <c r="C144" t="s">
        <v>226</v>
      </c>
      <c r="D144" t="s">
        <v>230</v>
      </c>
      <c r="F144">
        <v>71417</v>
      </c>
      <c r="G144" t="s">
        <v>242</v>
      </c>
      <c r="H144" t="s">
        <v>246</v>
      </c>
    </row>
    <row r="145" spans="1:8" x14ac:dyDescent="0.3">
      <c r="A145" t="s">
        <v>39</v>
      </c>
      <c r="B145" t="s">
        <v>218</v>
      </c>
      <c r="C145" t="s">
        <v>229</v>
      </c>
      <c r="D145" t="s">
        <v>230</v>
      </c>
      <c r="F145">
        <v>10921</v>
      </c>
      <c r="G145" t="s">
        <v>236</v>
      </c>
      <c r="H145" t="s">
        <v>248</v>
      </c>
    </row>
    <row r="146" spans="1:8" x14ac:dyDescent="0.3">
      <c r="A146" t="s">
        <v>50</v>
      </c>
      <c r="B146" t="s">
        <v>219</v>
      </c>
      <c r="C146" t="s">
        <v>229</v>
      </c>
      <c r="D146" t="s">
        <v>233</v>
      </c>
      <c r="G146" t="s">
        <v>238</v>
      </c>
      <c r="H146" t="s">
        <v>246</v>
      </c>
    </row>
    <row r="147" spans="1:8" x14ac:dyDescent="0.3">
      <c r="A147" t="s">
        <v>8</v>
      </c>
      <c r="B147" t="s">
        <v>220</v>
      </c>
      <c r="C147" t="s">
        <v>227</v>
      </c>
      <c r="D147" t="s">
        <v>233</v>
      </c>
      <c r="E147">
        <v>7</v>
      </c>
      <c r="G147" t="s">
        <v>243</v>
      </c>
      <c r="H147" t="s">
        <v>246</v>
      </c>
    </row>
    <row r="148" spans="1:8" x14ac:dyDescent="0.3">
      <c r="A148" t="s">
        <v>66</v>
      </c>
      <c r="B148" t="s">
        <v>221</v>
      </c>
      <c r="C148" t="s">
        <v>228</v>
      </c>
      <c r="D148" t="s">
        <v>233</v>
      </c>
      <c r="E148">
        <v>10</v>
      </c>
      <c r="F148">
        <v>72606</v>
      </c>
      <c r="G148" t="s">
        <v>239</v>
      </c>
      <c r="H148" t="s">
        <v>248</v>
      </c>
    </row>
    <row r="149" spans="1:8" x14ac:dyDescent="0.3">
      <c r="A149" t="s">
        <v>40</v>
      </c>
      <c r="B149" t="s">
        <v>222</v>
      </c>
      <c r="C149" t="s">
        <v>225</v>
      </c>
      <c r="D149" t="s">
        <v>234</v>
      </c>
      <c r="G149" t="s">
        <v>243</v>
      </c>
      <c r="H149" t="s">
        <v>247</v>
      </c>
    </row>
    <row r="150" spans="1:8" x14ac:dyDescent="0.3">
      <c r="A150" t="s">
        <v>37</v>
      </c>
      <c r="B150" t="s">
        <v>89</v>
      </c>
      <c r="C150" t="s">
        <v>229</v>
      </c>
      <c r="D150" t="s">
        <v>234</v>
      </c>
      <c r="F150">
        <v>37038</v>
      </c>
      <c r="G150" t="s">
        <v>240</v>
      </c>
      <c r="H150" t="s">
        <v>246</v>
      </c>
    </row>
    <row r="151" spans="1:8" x14ac:dyDescent="0.3">
      <c r="A151" t="s">
        <v>80</v>
      </c>
      <c r="B151" t="s">
        <v>223</v>
      </c>
      <c r="C151" t="s">
        <v>226</v>
      </c>
      <c r="D151" t="s">
        <v>234</v>
      </c>
      <c r="E151">
        <v>8</v>
      </c>
      <c r="F151">
        <v>60993</v>
      </c>
      <c r="G151" t="s">
        <v>244</v>
      </c>
      <c r="H151" t="s">
        <v>246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6811-A5A7-47A0-A22E-770FE00BF0FF}">
  <dimension ref="A1:O152"/>
  <sheetViews>
    <sheetView showGridLines="0" workbookViewId="0">
      <selection activeCell="M1" sqref="M1"/>
    </sheetView>
  </sheetViews>
  <sheetFormatPr defaultRowHeight="14.4" x14ac:dyDescent="0.3"/>
  <cols>
    <col min="1" max="1" width="12.44140625" bestFit="1" customWidth="1"/>
    <col min="2" max="2" width="14.5546875" bestFit="1" customWidth="1"/>
    <col min="3" max="3" width="16.33203125" bestFit="1" customWidth="1"/>
    <col min="4" max="4" width="11.21875" bestFit="1" customWidth="1"/>
    <col min="5" max="5" width="12.109375" bestFit="1" customWidth="1"/>
    <col min="6" max="6" width="12.77734375" bestFit="1" customWidth="1"/>
    <col min="7" max="7" width="13.5546875" bestFit="1" customWidth="1"/>
    <col min="8" max="8" width="13.88671875" bestFit="1" customWidth="1"/>
    <col min="9" max="9" width="15.44140625" bestFit="1" customWidth="1"/>
    <col min="10" max="10" width="10.6640625" bestFit="1" customWidth="1"/>
    <col min="13" max="13" width="11.77734375" customWidth="1"/>
    <col min="14" max="14" width="21" customWidth="1"/>
    <col min="15" max="15" width="13.109375" customWidth="1"/>
  </cols>
  <sheetData>
    <row r="1" spans="1:15" x14ac:dyDescent="0.3">
      <c r="A1" s="6" t="s">
        <v>0</v>
      </c>
      <c r="B1" s="6" t="s">
        <v>1</v>
      </c>
      <c r="C1" s="6" t="s">
        <v>256</v>
      </c>
      <c r="D1" s="6" t="s">
        <v>2</v>
      </c>
      <c r="E1" s="6" t="s">
        <v>3</v>
      </c>
      <c r="F1" s="6" t="s">
        <v>4</v>
      </c>
      <c r="G1" s="6" t="s">
        <v>5</v>
      </c>
      <c r="H1" s="6" t="s">
        <v>249</v>
      </c>
      <c r="I1" s="6" t="s">
        <v>6</v>
      </c>
      <c r="J1" s="6" t="s">
        <v>7</v>
      </c>
      <c r="M1" t="s">
        <v>250</v>
      </c>
      <c r="N1" t="s">
        <v>270</v>
      </c>
      <c r="O1" t="s">
        <v>251</v>
      </c>
    </row>
    <row r="2" spans="1:15" x14ac:dyDescent="0.3">
      <c r="A2" t="s">
        <v>19</v>
      </c>
      <c r="B2" s="3">
        <v>45328</v>
      </c>
      <c r="C2" s="3" t="str">
        <f>TEXT(B2,"mmm - yyyy")</f>
        <v>Feb - 2024</v>
      </c>
      <c r="D2" t="s">
        <v>229</v>
      </c>
      <c r="E2" t="s">
        <v>230</v>
      </c>
      <c r="F2">
        <v>8</v>
      </c>
      <c r="G2">
        <v>5934</v>
      </c>
      <c r="H2">
        <f>F2*G2</f>
        <v>47472</v>
      </c>
      <c r="I2" t="s">
        <v>236</v>
      </c>
      <c r="J2" t="s">
        <v>246</v>
      </c>
    </row>
    <row r="3" spans="1:15" x14ac:dyDescent="0.3">
      <c r="A3" t="s">
        <v>31</v>
      </c>
      <c r="B3" s="3">
        <v>45631</v>
      </c>
      <c r="C3" s="3" t="str">
        <f t="shared" ref="C3:C66" si="0">TEXT(B3,"mmm - yyyy")</f>
        <v>Dec - 2024</v>
      </c>
      <c r="D3" t="s">
        <v>229</v>
      </c>
      <c r="E3" t="s">
        <v>231</v>
      </c>
      <c r="F3">
        <v>6</v>
      </c>
      <c r="G3">
        <v>43999</v>
      </c>
      <c r="H3">
        <f t="shared" ref="H3:H66" si="1">F3*G3</f>
        <v>263994</v>
      </c>
      <c r="I3" t="s">
        <v>237</v>
      </c>
      <c r="J3" t="s">
        <v>246</v>
      </c>
      <c r="M3">
        <f>SUM(H2:H151)</f>
        <v>32747741</v>
      </c>
      <c r="N3" s="2">
        <f>AVERAGE(H2:H151)</f>
        <v>218318.27333333335</v>
      </c>
      <c r="O3">
        <f>COUNTA(A2:A151)</f>
        <v>75</v>
      </c>
    </row>
    <row r="4" spans="1:15" x14ac:dyDescent="0.3">
      <c r="A4" t="s">
        <v>34</v>
      </c>
      <c r="B4" s="3">
        <v>45350</v>
      </c>
      <c r="C4" s="3" t="str">
        <f t="shared" si="0"/>
        <v>Feb - 2024</v>
      </c>
      <c r="D4" t="s">
        <v>225</v>
      </c>
      <c r="E4" t="s">
        <v>231</v>
      </c>
      <c r="F4">
        <v>6</v>
      </c>
      <c r="G4">
        <v>200000</v>
      </c>
      <c r="H4">
        <f t="shared" si="1"/>
        <v>1200000</v>
      </c>
      <c r="I4" t="s">
        <v>238</v>
      </c>
      <c r="J4" t="s">
        <v>246</v>
      </c>
    </row>
    <row r="5" spans="1:15" x14ac:dyDescent="0.3">
      <c r="A5" t="s">
        <v>67</v>
      </c>
      <c r="B5" s="3">
        <v>45636</v>
      </c>
      <c r="C5" s="3" t="str">
        <f t="shared" si="0"/>
        <v>Dec - 2024</v>
      </c>
      <c r="D5" t="s">
        <v>226</v>
      </c>
      <c r="E5" t="s">
        <v>232</v>
      </c>
      <c r="F5">
        <v>6</v>
      </c>
      <c r="G5">
        <v>34203</v>
      </c>
      <c r="H5">
        <f t="shared" si="1"/>
        <v>205218</v>
      </c>
      <c r="I5" t="s">
        <v>239</v>
      </c>
      <c r="J5" t="s">
        <v>247</v>
      </c>
    </row>
    <row r="6" spans="1:15" x14ac:dyDescent="0.3">
      <c r="A6" t="s">
        <v>23</v>
      </c>
      <c r="B6" s="3">
        <v>45328</v>
      </c>
      <c r="C6" s="3" t="str">
        <f t="shared" si="0"/>
        <v>Feb - 2024</v>
      </c>
      <c r="D6" t="s">
        <v>228</v>
      </c>
      <c r="E6" t="s">
        <v>233</v>
      </c>
      <c r="F6">
        <v>2</v>
      </c>
      <c r="G6">
        <v>7844</v>
      </c>
      <c r="H6">
        <f t="shared" si="1"/>
        <v>15688</v>
      </c>
      <c r="I6" t="s">
        <v>239</v>
      </c>
      <c r="J6" t="s">
        <v>248</v>
      </c>
    </row>
    <row r="7" spans="1:15" x14ac:dyDescent="0.3">
      <c r="A7" t="s">
        <v>57</v>
      </c>
      <c r="B7" s="3">
        <v>45465</v>
      </c>
      <c r="C7" s="3" t="str">
        <f t="shared" si="0"/>
        <v>Jun - 2024</v>
      </c>
      <c r="D7" t="s">
        <v>228</v>
      </c>
      <c r="E7" t="s">
        <v>232</v>
      </c>
      <c r="F7">
        <v>6</v>
      </c>
      <c r="G7">
        <v>25014</v>
      </c>
      <c r="H7">
        <f t="shared" si="1"/>
        <v>150084</v>
      </c>
      <c r="I7" t="s">
        <v>240</v>
      </c>
      <c r="J7" t="s">
        <v>247</v>
      </c>
    </row>
    <row r="8" spans="1:15" x14ac:dyDescent="0.3">
      <c r="A8" t="s">
        <v>65</v>
      </c>
      <c r="B8" s="3">
        <v>45382</v>
      </c>
      <c r="C8" s="3" t="str">
        <f t="shared" si="0"/>
        <v>Mar - 2024</v>
      </c>
      <c r="D8" t="s">
        <v>226</v>
      </c>
      <c r="E8" t="s">
        <v>234</v>
      </c>
      <c r="F8">
        <v>6</v>
      </c>
      <c r="G8">
        <v>70603</v>
      </c>
      <c r="H8">
        <f t="shared" si="1"/>
        <v>423618</v>
      </c>
      <c r="I8" t="s">
        <v>241</v>
      </c>
      <c r="J8" t="s">
        <v>246</v>
      </c>
    </row>
    <row r="9" spans="1:15" x14ac:dyDescent="0.3">
      <c r="A9" t="s">
        <v>8</v>
      </c>
      <c r="B9" s="3">
        <v>45342</v>
      </c>
      <c r="C9" s="3" t="str">
        <f t="shared" si="0"/>
        <v>Feb - 2024</v>
      </c>
      <c r="D9" t="s">
        <v>229</v>
      </c>
      <c r="E9" t="s">
        <v>232</v>
      </c>
      <c r="F9">
        <v>7</v>
      </c>
      <c r="G9">
        <v>3629</v>
      </c>
      <c r="H9">
        <f t="shared" si="1"/>
        <v>25403</v>
      </c>
      <c r="I9" t="s">
        <v>241</v>
      </c>
      <c r="J9" t="s">
        <v>248</v>
      </c>
    </row>
    <row r="10" spans="1:15" x14ac:dyDescent="0.3">
      <c r="A10" t="s">
        <v>74</v>
      </c>
      <c r="B10" s="3">
        <v>45603</v>
      </c>
      <c r="C10" s="3" t="str">
        <f t="shared" si="0"/>
        <v>Nov - 2024</v>
      </c>
      <c r="D10" t="s">
        <v>229</v>
      </c>
      <c r="E10" t="s">
        <v>232</v>
      </c>
      <c r="F10">
        <v>6</v>
      </c>
      <c r="G10">
        <v>52770</v>
      </c>
      <c r="H10">
        <f t="shared" si="1"/>
        <v>316620</v>
      </c>
      <c r="I10" t="s">
        <v>241</v>
      </c>
      <c r="J10" t="s">
        <v>248</v>
      </c>
    </row>
    <row r="11" spans="1:15" x14ac:dyDescent="0.3">
      <c r="A11" t="s">
        <v>32</v>
      </c>
      <c r="B11" s="3">
        <v>45310</v>
      </c>
      <c r="C11" s="3" t="str">
        <f t="shared" si="0"/>
        <v>Jan - 2024</v>
      </c>
      <c r="D11" t="s">
        <v>228</v>
      </c>
      <c r="E11" t="s">
        <v>234</v>
      </c>
      <c r="F11">
        <v>7</v>
      </c>
      <c r="G11">
        <v>5922</v>
      </c>
      <c r="H11">
        <f t="shared" si="1"/>
        <v>41454</v>
      </c>
      <c r="I11" t="s">
        <v>241</v>
      </c>
      <c r="J11" t="s">
        <v>246</v>
      </c>
    </row>
    <row r="12" spans="1:15" x14ac:dyDescent="0.3">
      <c r="A12" t="s">
        <v>64</v>
      </c>
      <c r="B12" s="3">
        <v>45643</v>
      </c>
      <c r="C12" s="3" t="str">
        <f t="shared" si="0"/>
        <v>Dec - 2024</v>
      </c>
      <c r="D12" t="s">
        <v>228</v>
      </c>
      <c r="E12" t="s">
        <v>231</v>
      </c>
      <c r="F12">
        <v>7</v>
      </c>
      <c r="G12">
        <v>34082</v>
      </c>
      <c r="H12">
        <f t="shared" si="1"/>
        <v>238574</v>
      </c>
      <c r="I12" t="s">
        <v>240</v>
      </c>
      <c r="J12" t="s">
        <v>248</v>
      </c>
    </row>
    <row r="13" spans="1:15" x14ac:dyDescent="0.3">
      <c r="A13" t="s">
        <v>43</v>
      </c>
      <c r="B13" s="3">
        <v>45616</v>
      </c>
      <c r="C13" s="3" t="str">
        <f t="shared" si="0"/>
        <v>Nov - 2024</v>
      </c>
      <c r="D13" t="s">
        <v>226</v>
      </c>
      <c r="E13" t="s">
        <v>231</v>
      </c>
      <c r="F13">
        <v>10</v>
      </c>
      <c r="G13">
        <v>34082</v>
      </c>
      <c r="H13">
        <f t="shared" si="1"/>
        <v>340820</v>
      </c>
      <c r="I13" t="s">
        <v>241</v>
      </c>
      <c r="J13" t="s">
        <v>247</v>
      </c>
    </row>
    <row r="14" spans="1:15" x14ac:dyDescent="0.3">
      <c r="A14" t="s">
        <v>71</v>
      </c>
      <c r="B14" s="3">
        <v>45490</v>
      </c>
      <c r="C14" s="3" t="str">
        <f t="shared" si="0"/>
        <v>Jul - 2024</v>
      </c>
      <c r="D14" t="s">
        <v>228</v>
      </c>
      <c r="E14" t="s">
        <v>230</v>
      </c>
      <c r="F14">
        <v>6</v>
      </c>
      <c r="G14">
        <v>79951</v>
      </c>
      <c r="H14">
        <f t="shared" si="1"/>
        <v>479706</v>
      </c>
      <c r="I14" t="s">
        <v>238</v>
      </c>
      <c r="J14" t="s">
        <v>247</v>
      </c>
    </row>
    <row r="15" spans="1:15" x14ac:dyDescent="0.3">
      <c r="A15" t="s">
        <v>30</v>
      </c>
      <c r="B15" s="3">
        <v>45477</v>
      </c>
      <c r="C15" s="3" t="str">
        <f t="shared" si="0"/>
        <v>Jul - 2024</v>
      </c>
      <c r="D15" t="s">
        <v>228</v>
      </c>
      <c r="E15" t="s">
        <v>230</v>
      </c>
      <c r="F15">
        <v>4</v>
      </c>
      <c r="G15">
        <v>10921</v>
      </c>
      <c r="H15">
        <f t="shared" si="1"/>
        <v>43684</v>
      </c>
      <c r="I15" t="s">
        <v>236</v>
      </c>
      <c r="J15" t="s">
        <v>246</v>
      </c>
    </row>
    <row r="16" spans="1:15" x14ac:dyDescent="0.3">
      <c r="A16" t="s">
        <v>55</v>
      </c>
      <c r="B16" s="3">
        <v>45452</v>
      </c>
      <c r="C16" s="3" t="str">
        <f t="shared" si="0"/>
        <v>Jun - 2024</v>
      </c>
      <c r="D16" t="s">
        <v>225</v>
      </c>
      <c r="E16" t="s">
        <v>235</v>
      </c>
      <c r="F16">
        <v>6</v>
      </c>
      <c r="G16">
        <v>30676</v>
      </c>
      <c r="H16">
        <f t="shared" si="1"/>
        <v>184056</v>
      </c>
      <c r="I16" t="s">
        <v>237</v>
      </c>
      <c r="J16" t="s">
        <v>246</v>
      </c>
    </row>
    <row r="17" spans="1:10" x14ac:dyDescent="0.3">
      <c r="A17" t="s">
        <v>26</v>
      </c>
      <c r="B17" s="3">
        <v>45338</v>
      </c>
      <c r="C17" s="3" t="str">
        <f t="shared" si="0"/>
        <v>Feb - 2024</v>
      </c>
      <c r="D17" t="s">
        <v>226</v>
      </c>
      <c r="E17" t="s">
        <v>234</v>
      </c>
      <c r="F17">
        <v>6</v>
      </c>
      <c r="G17">
        <v>68641</v>
      </c>
      <c r="H17">
        <f t="shared" si="1"/>
        <v>411846</v>
      </c>
      <c r="I17" t="s">
        <v>242</v>
      </c>
      <c r="J17" t="s">
        <v>246</v>
      </c>
    </row>
    <row r="18" spans="1:10" x14ac:dyDescent="0.3">
      <c r="A18" t="s">
        <v>45</v>
      </c>
      <c r="B18" s="3">
        <v>45470</v>
      </c>
      <c r="C18" s="3" t="str">
        <f t="shared" si="0"/>
        <v>Jun - 2024</v>
      </c>
      <c r="D18" t="s">
        <v>226</v>
      </c>
      <c r="E18" t="s">
        <v>230</v>
      </c>
      <c r="F18">
        <v>6</v>
      </c>
      <c r="G18">
        <v>10921</v>
      </c>
      <c r="H18">
        <f t="shared" si="1"/>
        <v>65526</v>
      </c>
      <c r="I18" t="s">
        <v>243</v>
      </c>
      <c r="J18" t="s">
        <v>246</v>
      </c>
    </row>
    <row r="19" spans="1:10" x14ac:dyDescent="0.3">
      <c r="A19" t="s">
        <v>51</v>
      </c>
      <c r="B19" s="3">
        <v>45527</v>
      </c>
      <c r="C19" s="3" t="str">
        <f t="shared" si="0"/>
        <v>Aug - 2024</v>
      </c>
      <c r="D19" t="s">
        <v>228</v>
      </c>
      <c r="E19" t="s">
        <v>232</v>
      </c>
      <c r="F19">
        <v>6</v>
      </c>
      <c r="G19">
        <v>7315</v>
      </c>
      <c r="H19">
        <f t="shared" si="1"/>
        <v>43890</v>
      </c>
      <c r="I19" t="s">
        <v>241</v>
      </c>
      <c r="J19" t="s">
        <v>248</v>
      </c>
    </row>
    <row r="20" spans="1:10" x14ac:dyDescent="0.3">
      <c r="A20" t="s">
        <v>66</v>
      </c>
      <c r="B20" s="3">
        <v>45365</v>
      </c>
      <c r="C20" s="3" t="str">
        <f t="shared" si="0"/>
        <v>Mar - 2024</v>
      </c>
      <c r="D20" t="s">
        <v>229</v>
      </c>
      <c r="E20" t="s">
        <v>234</v>
      </c>
      <c r="F20">
        <v>6</v>
      </c>
      <c r="G20">
        <v>35896</v>
      </c>
      <c r="H20">
        <f t="shared" si="1"/>
        <v>215376</v>
      </c>
      <c r="I20" t="s">
        <v>236</v>
      </c>
      <c r="J20" t="s">
        <v>246</v>
      </c>
    </row>
    <row r="21" spans="1:10" x14ac:dyDescent="0.3">
      <c r="A21" t="s">
        <v>68</v>
      </c>
      <c r="B21" s="3">
        <v>45625</v>
      </c>
      <c r="C21" s="3" t="str">
        <f t="shared" si="0"/>
        <v>Nov - 2024</v>
      </c>
      <c r="D21" t="s">
        <v>229</v>
      </c>
      <c r="E21" t="s">
        <v>233</v>
      </c>
      <c r="F21">
        <v>6</v>
      </c>
      <c r="G21">
        <v>32343</v>
      </c>
      <c r="H21">
        <f t="shared" si="1"/>
        <v>194058</v>
      </c>
      <c r="I21" t="s">
        <v>241</v>
      </c>
      <c r="J21" t="s">
        <v>248</v>
      </c>
    </row>
    <row r="22" spans="1:10" x14ac:dyDescent="0.3">
      <c r="A22" t="s">
        <v>77</v>
      </c>
      <c r="B22" s="3">
        <v>45311</v>
      </c>
      <c r="C22" s="3" t="str">
        <f t="shared" si="0"/>
        <v>Jan - 2024</v>
      </c>
      <c r="D22" t="s">
        <v>229</v>
      </c>
      <c r="E22" t="s">
        <v>232</v>
      </c>
      <c r="F22">
        <v>6</v>
      </c>
      <c r="G22">
        <v>17900</v>
      </c>
      <c r="H22">
        <f t="shared" si="1"/>
        <v>107400</v>
      </c>
      <c r="I22" t="s">
        <v>242</v>
      </c>
      <c r="J22" t="s">
        <v>247</v>
      </c>
    </row>
    <row r="23" spans="1:10" x14ac:dyDescent="0.3">
      <c r="A23" t="s">
        <v>73</v>
      </c>
      <c r="B23" s="3">
        <v>45559</v>
      </c>
      <c r="C23" s="3" t="str">
        <f t="shared" si="0"/>
        <v>Sep - 2024</v>
      </c>
      <c r="D23" t="s">
        <v>229</v>
      </c>
      <c r="E23" t="s">
        <v>232</v>
      </c>
      <c r="F23">
        <v>6</v>
      </c>
      <c r="G23">
        <v>3629</v>
      </c>
      <c r="H23">
        <f t="shared" si="1"/>
        <v>21774</v>
      </c>
      <c r="I23" t="s">
        <v>244</v>
      </c>
      <c r="J23" t="s">
        <v>248</v>
      </c>
    </row>
    <row r="24" spans="1:10" x14ac:dyDescent="0.3">
      <c r="A24" t="s">
        <v>49</v>
      </c>
      <c r="B24" s="3">
        <v>45651</v>
      </c>
      <c r="C24" s="3" t="str">
        <f t="shared" si="0"/>
        <v>Dec - 2024</v>
      </c>
      <c r="D24" t="s">
        <v>226</v>
      </c>
      <c r="E24" t="s">
        <v>230</v>
      </c>
      <c r="F24">
        <v>6</v>
      </c>
      <c r="G24">
        <v>5342</v>
      </c>
      <c r="H24">
        <f t="shared" si="1"/>
        <v>32052</v>
      </c>
      <c r="I24" t="s">
        <v>239</v>
      </c>
      <c r="J24" t="s">
        <v>247</v>
      </c>
    </row>
    <row r="25" spans="1:10" x14ac:dyDescent="0.3">
      <c r="A25" t="s">
        <v>79</v>
      </c>
      <c r="B25" s="3">
        <v>45515</v>
      </c>
      <c r="C25" s="3" t="str">
        <f t="shared" si="0"/>
        <v>Aug - 2024</v>
      </c>
      <c r="D25" t="s">
        <v>229</v>
      </c>
      <c r="E25" t="s">
        <v>235</v>
      </c>
      <c r="F25">
        <v>1</v>
      </c>
      <c r="G25">
        <v>150000</v>
      </c>
      <c r="H25">
        <f t="shared" si="1"/>
        <v>150000</v>
      </c>
      <c r="I25" t="s">
        <v>243</v>
      </c>
      <c r="J25" t="s">
        <v>246</v>
      </c>
    </row>
    <row r="26" spans="1:10" x14ac:dyDescent="0.3">
      <c r="A26" t="s">
        <v>42</v>
      </c>
      <c r="B26" s="3">
        <v>45555</v>
      </c>
      <c r="C26" s="3" t="str">
        <f t="shared" si="0"/>
        <v>Sep - 2024</v>
      </c>
      <c r="D26" t="s">
        <v>229</v>
      </c>
      <c r="E26" t="s">
        <v>232</v>
      </c>
      <c r="F26">
        <v>5</v>
      </c>
      <c r="G26">
        <v>300000</v>
      </c>
      <c r="H26">
        <f t="shared" si="1"/>
        <v>1500000</v>
      </c>
      <c r="I26" t="s">
        <v>242</v>
      </c>
      <c r="J26" t="s">
        <v>248</v>
      </c>
    </row>
    <row r="27" spans="1:10" x14ac:dyDescent="0.3">
      <c r="A27" t="s">
        <v>59</v>
      </c>
      <c r="B27" s="3">
        <v>45415</v>
      </c>
      <c r="C27" s="3" t="str">
        <f t="shared" si="0"/>
        <v>May - 2024</v>
      </c>
      <c r="D27" t="s">
        <v>229</v>
      </c>
      <c r="E27" t="s">
        <v>235</v>
      </c>
      <c r="F27">
        <v>6</v>
      </c>
      <c r="G27">
        <v>18344</v>
      </c>
      <c r="H27">
        <f t="shared" si="1"/>
        <v>110064</v>
      </c>
      <c r="I27" t="s">
        <v>239</v>
      </c>
      <c r="J27" t="s">
        <v>248</v>
      </c>
    </row>
    <row r="28" spans="1:10" x14ac:dyDescent="0.3">
      <c r="A28" t="s">
        <v>60</v>
      </c>
      <c r="B28" s="3">
        <v>45616</v>
      </c>
      <c r="C28" s="3" t="str">
        <f t="shared" si="0"/>
        <v>Nov - 2024</v>
      </c>
      <c r="D28" t="s">
        <v>225</v>
      </c>
      <c r="E28" t="s">
        <v>230</v>
      </c>
      <c r="F28">
        <v>6</v>
      </c>
      <c r="G28">
        <v>38646</v>
      </c>
      <c r="H28">
        <f t="shared" si="1"/>
        <v>231876</v>
      </c>
      <c r="I28" t="s">
        <v>244</v>
      </c>
      <c r="J28" t="s">
        <v>248</v>
      </c>
    </row>
    <row r="29" spans="1:10" x14ac:dyDescent="0.3">
      <c r="A29" t="s">
        <v>81</v>
      </c>
      <c r="B29" s="3">
        <v>45491</v>
      </c>
      <c r="C29" s="3" t="str">
        <f t="shared" si="0"/>
        <v>Jul - 2024</v>
      </c>
      <c r="D29" t="s">
        <v>228</v>
      </c>
      <c r="E29" t="s">
        <v>232</v>
      </c>
      <c r="F29">
        <v>6</v>
      </c>
      <c r="G29">
        <v>11718</v>
      </c>
      <c r="H29">
        <f t="shared" si="1"/>
        <v>70308</v>
      </c>
      <c r="I29" t="s">
        <v>238</v>
      </c>
      <c r="J29" t="s">
        <v>246</v>
      </c>
    </row>
    <row r="30" spans="1:10" x14ac:dyDescent="0.3">
      <c r="A30" t="s">
        <v>17</v>
      </c>
      <c r="B30" s="3">
        <v>45510</v>
      </c>
      <c r="C30" s="3" t="str">
        <f t="shared" si="0"/>
        <v>Aug - 2024</v>
      </c>
      <c r="D30" t="s">
        <v>225</v>
      </c>
      <c r="E30" t="s">
        <v>230</v>
      </c>
      <c r="F30">
        <v>6</v>
      </c>
      <c r="G30">
        <v>42183</v>
      </c>
      <c r="H30">
        <f t="shared" si="1"/>
        <v>253098</v>
      </c>
      <c r="I30" t="s">
        <v>240</v>
      </c>
      <c r="J30" t="s">
        <v>246</v>
      </c>
    </row>
    <row r="31" spans="1:10" x14ac:dyDescent="0.3">
      <c r="A31" t="s">
        <v>61</v>
      </c>
      <c r="B31" s="3">
        <v>45418</v>
      </c>
      <c r="C31" s="3" t="str">
        <f t="shared" si="0"/>
        <v>May - 2024</v>
      </c>
      <c r="D31" t="s">
        <v>225</v>
      </c>
      <c r="E31" t="s">
        <v>232</v>
      </c>
      <c r="F31">
        <v>6</v>
      </c>
      <c r="G31">
        <v>3629</v>
      </c>
      <c r="H31">
        <f t="shared" si="1"/>
        <v>21774</v>
      </c>
      <c r="I31" t="s">
        <v>239</v>
      </c>
      <c r="J31" t="s">
        <v>246</v>
      </c>
    </row>
    <row r="32" spans="1:10" x14ac:dyDescent="0.3">
      <c r="A32" t="s">
        <v>27</v>
      </c>
      <c r="B32" s="3">
        <v>45656</v>
      </c>
      <c r="C32" s="3" t="str">
        <f t="shared" si="0"/>
        <v>Dec - 2024</v>
      </c>
      <c r="D32" t="s">
        <v>225</v>
      </c>
      <c r="E32" t="s">
        <v>235</v>
      </c>
      <c r="F32">
        <v>3</v>
      </c>
      <c r="G32">
        <v>11490</v>
      </c>
      <c r="H32">
        <f t="shared" si="1"/>
        <v>34470</v>
      </c>
      <c r="I32" t="s">
        <v>239</v>
      </c>
      <c r="J32" t="s">
        <v>246</v>
      </c>
    </row>
    <row r="33" spans="1:10" x14ac:dyDescent="0.3">
      <c r="A33" t="s">
        <v>56</v>
      </c>
      <c r="B33" s="3">
        <v>45595</v>
      </c>
      <c r="C33" s="3" t="str">
        <f t="shared" si="0"/>
        <v>Oct - 2024</v>
      </c>
      <c r="D33" t="s">
        <v>229</v>
      </c>
      <c r="E33" t="s">
        <v>233</v>
      </c>
      <c r="F33">
        <v>1</v>
      </c>
      <c r="G33">
        <v>74536</v>
      </c>
      <c r="H33">
        <f t="shared" si="1"/>
        <v>74536</v>
      </c>
      <c r="I33" t="s">
        <v>239</v>
      </c>
      <c r="J33" t="s">
        <v>246</v>
      </c>
    </row>
    <row r="34" spans="1:10" x14ac:dyDescent="0.3">
      <c r="A34" t="s">
        <v>20</v>
      </c>
      <c r="B34" s="3">
        <v>45314</v>
      </c>
      <c r="C34" s="3" t="str">
        <f t="shared" si="0"/>
        <v>Jan - 2024</v>
      </c>
      <c r="D34" t="s">
        <v>228</v>
      </c>
      <c r="E34" t="s">
        <v>232</v>
      </c>
      <c r="F34">
        <v>6</v>
      </c>
      <c r="G34">
        <v>66002</v>
      </c>
      <c r="H34">
        <f t="shared" si="1"/>
        <v>396012</v>
      </c>
      <c r="I34" t="s">
        <v>244</v>
      </c>
      <c r="J34" t="s">
        <v>246</v>
      </c>
    </row>
    <row r="35" spans="1:10" x14ac:dyDescent="0.3">
      <c r="A35" t="s">
        <v>35</v>
      </c>
      <c r="B35" s="3">
        <v>45558</v>
      </c>
      <c r="C35" s="3" t="str">
        <f t="shared" si="0"/>
        <v>Sep - 2024</v>
      </c>
      <c r="D35" t="s">
        <v>229</v>
      </c>
      <c r="E35" t="s">
        <v>235</v>
      </c>
      <c r="F35">
        <v>9</v>
      </c>
      <c r="G35">
        <v>85185</v>
      </c>
      <c r="H35">
        <f t="shared" si="1"/>
        <v>766665</v>
      </c>
      <c r="I35" t="s">
        <v>244</v>
      </c>
      <c r="J35" t="s">
        <v>247</v>
      </c>
    </row>
    <row r="36" spans="1:10" x14ac:dyDescent="0.3">
      <c r="A36" t="s">
        <v>37</v>
      </c>
      <c r="B36" s="3">
        <v>45397</v>
      </c>
      <c r="C36" s="3" t="str">
        <f t="shared" si="0"/>
        <v>Apr - 2024</v>
      </c>
      <c r="D36" t="s">
        <v>226</v>
      </c>
      <c r="E36" t="s">
        <v>230</v>
      </c>
      <c r="F36">
        <v>3</v>
      </c>
      <c r="G36">
        <v>10921</v>
      </c>
      <c r="H36">
        <f t="shared" si="1"/>
        <v>32763</v>
      </c>
      <c r="I36" t="s">
        <v>244</v>
      </c>
      <c r="J36" t="s">
        <v>248</v>
      </c>
    </row>
    <row r="37" spans="1:10" x14ac:dyDescent="0.3">
      <c r="A37" t="s">
        <v>52</v>
      </c>
      <c r="B37" s="3">
        <v>45461</v>
      </c>
      <c r="C37" s="3" t="str">
        <f t="shared" si="0"/>
        <v>Jun - 2024</v>
      </c>
      <c r="D37" t="s">
        <v>225</v>
      </c>
      <c r="E37" t="s">
        <v>232</v>
      </c>
      <c r="F37">
        <v>6</v>
      </c>
      <c r="G37">
        <v>3629</v>
      </c>
      <c r="H37">
        <f t="shared" si="1"/>
        <v>21774</v>
      </c>
      <c r="I37" t="s">
        <v>244</v>
      </c>
      <c r="J37" t="s">
        <v>246</v>
      </c>
    </row>
    <row r="38" spans="1:10" x14ac:dyDescent="0.3">
      <c r="A38" t="s">
        <v>69</v>
      </c>
      <c r="B38" s="3">
        <v>45351</v>
      </c>
      <c r="C38" s="3" t="str">
        <f t="shared" si="0"/>
        <v>Feb - 2024</v>
      </c>
      <c r="D38" t="s">
        <v>225</v>
      </c>
      <c r="E38" t="s">
        <v>230</v>
      </c>
      <c r="F38">
        <v>1</v>
      </c>
      <c r="G38">
        <v>10921</v>
      </c>
      <c r="H38">
        <f t="shared" si="1"/>
        <v>10921</v>
      </c>
      <c r="I38" t="s">
        <v>238</v>
      </c>
      <c r="J38" t="s">
        <v>246</v>
      </c>
    </row>
    <row r="39" spans="1:10" x14ac:dyDescent="0.3">
      <c r="A39" t="s">
        <v>33</v>
      </c>
      <c r="B39" s="3">
        <v>45550</v>
      </c>
      <c r="C39" s="3" t="str">
        <f t="shared" si="0"/>
        <v>Sep - 2024</v>
      </c>
      <c r="D39" t="s">
        <v>225</v>
      </c>
      <c r="E39" t="s">
        <v>232</v>
      </c>
      <c r="F39">
        <v>6</v>
      </c>
      <c r="G39">
        <v>23722</v>
      </c>
      <c r="H39">
        <f t="shared" si="1"/>
        <v>142332</v>
      </c>
      <c r="I39" t="s">
        <v>245</v>
      </c>
      <c r="J39" t="s">
        <v>248</v>
      </c>
    </row>
    <row r="40" spans="1:10" x14ac:dyDescent="0.3">
      <c r="A40" t="s">
        <v>39</v>
      </c>
      <c r="B40" s="3">
        <v>45448</v>
      </c>
      <c r="C40" s="3" t="str">
        <f t="shared" si="0"/>
        <v>Jun - 2024</v>
      </c>
      <c r="D40" t="s">
        <v>228</v>
      </c>
      <c r="E40" t="s">
        <v>233</v>
      </c>
      <c r="F40">
        <v>6</v>
      </c>
      <c r="G40">
        <v>30968</v>
      </c>
      <c r="H40">
        <f t="shared" si="1"/>
        <v>185808</v>
      </c>
      <c r="I40" t="s">
        <v>236</v>
      </c>
      <c r="J40" t="s">
        <v>247</v>
      </c>
    </row>
    <row r="41" spans="1:10" x14ac:dyDescent="0.3">
      <c r="A41" t="s">
        <v>13</v>
      </c>
      <c r="B41" s="3">
        <v>45294</v>
      </c>
      <c r="C41" s="3" t="str">
        <f t="shared" si="0"/>
        <v>Jan - 2024</v>
      </c>
      <c r="D41" t="s">
        <v>229</v>
      </c>
      <c r="E41" t="s">
        <v>232</v>
      </c>
      <c r="F41">
        <v>6</v>
      </c>
      <c r="G41">
        <v>12485</v>
      </c>
      <c r="H41">
        <f t="shared" si="1"/>
        <v>74910</v>
      </c>
      <c r="I41" t="s">
        <v>239</v>
      </c>
      <c r="J41" t="s">
        <v>248</v>
      </c>
    </row>
    <row r="42" spans="1:10" x14ac:dyDescent="0.3">
      <c r="A42" t="s">
        <v>38</v>
      </c>
      <c r="B42" s="3">
        <v>45431</v>
      </c>
      <c r="C42" s="3" t="str">
        <f t="shared" si="0"/>
        <v>May - 2024</v>
      </c>
      <c r="D42" t="s">
        <v>229</v>
      </c>
      <c r="E42" t="s">
        <v>234</v>
      </c>
      <c r="F42">
        <v>6</v>
      </c>
      <c r="G42">
        <v>20909</v>
      </c>
      <c r="H42">
        <f t="shared" si="1"/>
        <v>125454</v>
      </c>
      <c r="I42" t="s">
        <v>240</v>
      </c>
      <c r="J42" t="s">
        <v>246</v>
      </c>
    </row>
    <row r="43" spans="1:10" x14ac:dyDescent="0.3">
      <c r="A43" t="s">
        <v>75</v>
      </c>
      <c r="B43" s="3">
        <v>45568</v>
      </c>
      <c r="C43" s="3" t="str">
        <f t="shared" si="0"/>
        <v>Oct - 2024</v>
      </c>
      <c r="D43" t="s">
        <v>225</v>
      </c>
      <c r="E43" t="s">
        <v>231</v>
      </c>
      <c r="F43">
        <v>6</v>
      </c>
      <c r="G43">
        <v>48612</v>
      </c>
      <c r="H43">
        <f t="shared" si="1"/>
        <v>291672</v>
      </c>
      <c r="I43" t="s">
        <v>245</v>
      </c>
      <c r="J43" t="s">
        <v>247</v>
      </c>
    </row>
    <row r="44" spans="1:10" x14ac:dyDescent="0.3">
      <c r="A44" t="s">
        <v>41</v>
      </c>
      <c r="B44" s="3">
        <v>45398</v>
      </c>
      <c r="C44" s="3" t="str">
        <f t="shared" si="0"/>
        <v>Apr - 2024</v>
      </c>
      <c r="D44" t="s">
        <v>225</v>
      </c>
      <c r="E44" t="s">
        <v>230</v>
      </c>
      <c r="F44">
        <v>6</v>
      </c>
      <c r="G44">
        <v>46616</v>
      </c>
      <c r="H44">
        <f t="shared" si="1"/>
        <v>279696</v>
      </c>
      <c r="I44" t="s">
        <v>240</v>
      </c>
      <c r="J44" t="s">
        <v>248</v>
      </c>
    </row>
    <row r="45" spans="1:10" x14ac:dyDescent="0.3">
      <c r="A45" t="s">
        <v>47</v>
      </c>
      <c r="B45" s="3">
        <v>45654</v>
      </c>
      <c r="C45" s="3" t="str">
        <f t="shared" si="0"/>
        <v>Dec - 2024</v>
      </c>
      <c r="D45" t="s">
        <v>228</v>
      </c>
      <c r="E45" t="s">
        <v>234</v>
      </c>
      <c r="F45">
        <v>6</v>
      </c>
      <c r="G45">
        <v>72323</v>
      </c>
      <c r="H45">
        <f t="shared" si="1"/>
        <v>433938</v>
      </c>
      <c r="I45" t="s">
        <v>238</v>
      </c>
      <c r="J45" t="s">
        <v>248</v>
      </c>
    </row>
    <row r="46" spans="1:10" x14ac:dyDescent="0.3">
      <c r="A46" t="s">
        <v>70</v>
      </c>
      <c r="B46" s="3">
        <v>45567</v>
      </c>
      <c r="C46" s="3" t="str">
        <f t="shared" si="0"/>
        <v>Oct - 2024</v>
      </c>
      <c r="D46" t="s">
        <v>226</v>
      </c>
      <c r="E46" t="s">
        <v>230</v>
      </c>
      <c r="F46">
        <v>1</v>
      </c>
      <c r="G46">
        <v>63449</v>
      </c>
      <c r="H46">
        <f t="shared" si="1"/>
        <v>63449</v>
      </c>
      <c r="I46" t="s">
        <v>239</v>
      </c>
      <c r="J46" t="s">
        <v>246</v>
      </c>
    </row>
    <row r="47" spans="1:10" x14ac:dyDescent="0.3">
      <c r="A47" t="s">
        <v>24</v>
      </c>
      <c r="B47" s="3">
        <v>45366</v>
      </c>
      <c r="C47" s="3" t="str">
        <f t="shared" si="0"/>
        <v>Mar - 2024</v>
      </c>
      <c r="D47" t="s">
        <v>229</v>
      </c>
      <c r="E47" t="s">
        <v>232</v>
      </c>
      <c r="F47">
        <v>9</v>
      </c>
      <c r="G47">
        <v>60885</v>
      </c>
      <c r="H47">
        <f t="shared" si="1"/>
        <v>547965</v>
      </c>
      <c r="I47" t="s">
        <v>245</v>
      </c>
      <c r="J47" t="s">
        <v>248</v>
      </c>
    </row>
    <row r="48" spans="1:10" x14ac:dyDescent="0.3">
      <c r="A48" t="s">
        <v>72</v>
      </c>
      <c r="B48" s="3">
        <v>45484</v>
      </c>
      <c r="C48" s="3" t="str">
        <f t="shared" si="0"/>
        <v>Jul - 2024</v>
      </c>
      <c r="D48" t="s">
        <v>229</v>
      </c>
      <c r="E48" t="s">
        <v>230</v>
      </c>
      <c r="F48">
        <v>6</v>
      </c>
      <c r="G48">
        <v>10921</v>
      </c>
      <c r="H48">
        <f t="shared" si="1"/>
        <v>65526</v>
      </c>
      <c r="I48" t="s">
        <v>240</v>
      </c>
      <c r="J48" t="s">
        <v>248</v>
      </c>
    </row>
    <row r="49" spans="1:10" x14ac:dyDescent="0.3">
      <c r="A49" t="s">
        <v>15</v>
      </c>
      <c r="B49" s="3">
        <v>45623</v>
      </c>
      <c r="C49" s="3" t="str">
        <f t="shared" si="0"/>
        <v>Nov - 2024</v>
      </c>
      <c r="D49" t="s">
        <v>228</v>
      </c>
      <c r="E49" t="s">
        <v>234</v>
      </c>
      <c r="F49">
        <v>6</v>
      </c>
      <c r="G49">
        <v>20909</v>
      </c>
      <c r="H49">
        <f t="shared" si="1"/>
        <v>125454</v>
      </c>
      <c r="I49" t="s">
        <v>245</v>
      </c>
      <c r="J49" t="s">
        <v>248</v>
      </c>
    </row>
    <row r="50" spans="1:10" x14ac:dyDescent="0.3">
      <c r="A50" t="s">
        <v>25</v>
      </c>
      <c r="B50" s="3">
        <v>45543</v>
      </c>
      <c r="C50" s="3" t="str">
        <f t="shared" si="0"/>
        <v>Sep - 2024</v>
      </c>
      <c r="D50" t="s">
        <v>228</v>
      </c>
      <c r="E50" t="s">
        <v>235</v>
      </c>
      <c r="F50">
        <v>8</v>
      </c>
      <c r="G50">
        <v>79027</v>
      </c>
      <c r="H50">
        <f t="shared" si="1"/>
        <v>632216</v>
      </c>
      <c r="I50" t="s">
        <v>244</v>
      </c>
      <c r="J50" t="s">
        <v>248</v>
      </c>
    </row>
    <row r="51" spans="1:10" x14ac:dyDescent="0.3">
      <c r="A51" t="s">
        <v>40</v>
      </c>
      <c r="B51" s="3">
        <v>45534</v>
      </c>
      <c r="C51" s="3" t="str">
        <f t="shared" si="0"/>
        <v>Aug - 2024</v>
      </c>
      <c r="D51" t="s">
        <v>228</v>
      </c>
      <c r="E51" t="s">
        <v>232</v>
      </c>
      <c r="F51">
        <v>6</v>
      </c>
      <c r="G51">
        <v>24904</v>
      </c>
      <c r="H51">
        <f t="shared" si="1"/>
        <v>149424</v>
      </c>
      <c r="I51" t="s">
        <v>237</v>
      </c>
      <c r="J51" t="s">
        <v>246</v>
      </c>
    </row>
    <row r="52" spans="1:10" x14ac:dyDescent="0.3">
      <c r="A52" t="s">
        <v>50</v>
      </c>
      <c r="B52" s="3">
        <v>45422</v>
      </c>
      <c r="C52" s="3" t="str">
        <f t="shared" si="0"/>
        <v>May - 2024</v>
      </c>
      <c r="D52" t="s">
        <v>228</v>
      </c>
      <c r="E52" t="s">
        <v>234</v>
      </c>
      <c r="F52">
        <v>8</v>
      </c>
      <c r="G52">
        <v>20909</v>
      </c>
      <c r="H52">
        <f t="shared" si="1"/>
        <v>167272</v>
      </c>
      <c r="I52" t="s">
        <v>241</v>
      </c>
      <c r="J52" t="s">
        <v>247</v>
      </c>
    </row>
    <row r="53" spans="1:10" x14ac:dyDescent="0.3">
      <c r="A53" t="s">
        <v>53</v>
      </c>
      <c r="B53" s="3">
        <v>45497</v>
      </c>
      <c r="C53" s="3" t="str">
        <f t="shared" si="0"/>
        <v>Jul - 2024</v>
      </c>
      <c r="D53" t="s">
        <v>229</v>
      </c>
      <c r="E53" t="s">
        <v>234</v>
      </c>
      <c r="F53">
        <v>6</v>
      </c>
      <c r="G53">
        <v>74302</v>
      </c>
      <c r="H53">
        <f t="shared" si="1"/>
        <v>445812</v>
      </c>
      <c r="I53" t="s">
        <v>236</v>
      </c>
      <c r="J53" t="s">
        <v>246</v>
      </c>
    </row>
    <row r="54" spans="1:10" x14ac:dyDescent="0.3">
      <c r="A54" t="s">
        <v>46</v>
      </c>
      <c r="B54" s="3">
        <v>45305</v>
      </c>
      <c r="C54" s="3" t="str">
        <f t="shared" si="0"/>
        <v>Jan - 2024</v>
      </c>
      <c r="D54" t="s">
        <v>228</v>
      </c>
      <c r="E54" t="s">
        <v>232</v>
      </c>
      <c r="F54">
        <v>6</v>
      </c>
      <c r="G54">
        <v>75735</v>
      </c>
      <c r="H54">
        <f t="shared" si="1"/>
        <v>454410</v>
      </c>
      <c r="I54" t="s">
        <v>241</v>
      </c>
      <c r="J54" t="s">
        <v>248</v>
      </c>
    </row>
    <row r="55" spans="1:10" x14ac:dyDescent="0.3">
      <c r="A55" t="s">
        <v>62</v>
      </c>
      <c r="B55" s="3">
        <v>45337</v>
      </c>
      <c r="C55" s="3" t="str">
        <f t="shared" si="0"/>
        <v>Feb - 2024</v>
      </c>
      <c r="D55" t="s">
        <v>229</v>
      </c>
      <c r="E55" t="s">
        <v>233</v>
      </c>
      <c r="F55">
        <v>7</v>
      </c>
      <c r="G55">
        <v>77702</v>
      </c>
      <c r="H55">
        <f t="shared" si="1"/>
        <v>543914</v>
      </c>
      <c r="I55" t="s">
        <v>240</v>
      </c>
      <c r="J55" t="s">
        <v>248</v>
      </c>
    </row>
    <row r="56" spans="1:10" x14ac:dyDescent="0.3">
      <c r="A56" t="s">
        <v>22</v>
      </c>
      <c r="B56" s="3">
        <v>45389</v>
      </c>
      <c r="C56" s="3" t="str">
        <f t="shared" si="0"/>
        <v>Apr - 2024</v>
      </c>
      <c r="D56" t="s">
        <v>226</v>
      </c>
      <c r="E56" t="s">
        <v>234</v>
      </c>
      <c r="F56">
        <v>9</v>
      </c>
      <c r="G56">
        <v>20909</v>
      </c>
      <c r="H56">
        <f t="shared" si="1"/>
        <v>188181</v>
      </c>
      <c r="I56" t="s">
        <v>244</v>
      </c>
      <c r="J56" t="s">
        <v>248</v>
      </c>
    </row>
    <row r="57" spans="1:10" x14ac:dyDescent="0.3">
      <c r="A57" t="s">
        <v>54</v>
      </c>
      <c r="B57" s="3">
        <v>45516</v>
      </c>
      <c r="C57" s="3" t="str">
        <f t="shared" si="0"/>
        <v>Aug - 2024</v>
      </c>
      <c r="D57" t="s">
        <v>228</v>
      </c>
      <c r="E57" t="s">
        <v>231</v>
      </c>
      <c r="F57">
        <v>6</v>
      </c>
      <c r="G57">
        <v>34082</v>
      </c>
      <c r="H57">
        <f t="shared" si="1"/>
        <v>204492</v>
      </c>
      <c r="I57" t="s">
        <v>242</v>
      </c>
      <c r="J57" t="s">
        <v>248</v>
      </c>
    </row>
    <row r="58" spans="1:10" x14ac:dyDescent="0.3">
      <c r="A58" t="s">
        <v>14</v>
      </c>
      <c r="B58" s="3">
        <v>45323</v>
      </c>
      <c r="C58" s="3" t="str">
        <f t="shared" si="0"/>
        <v>Feb - 2024</v>
      </c>
      <c r="D58" t="s">
        <v>228</v>
      </c>
      <c r="E58" t="s">
        <v>233</v>
      </c>
      <c r="F58">
        <v>6</v>
      </c>
      <c r="G58">
        <v>30968</v>
      </c>
      <c r="H58">
        <f t="shared" si="1"/>
        <v>185808</v>
      </c>
      <c r="I58" t="s">
        <v>243</v>
      </c>
      <c r="J58" t="s">
        <v>246</v>
      </c>
    </row>
    <row r="59" spans="1:10" x14ac:dyDescent="0.3">
      <c r="A59" t="s">
        <v>16</v>
      </c>
      <c r="B59" s="3">
        <v>45555</v>
      </c>
      <c r="C59" s="3" t="str">
        <f t="shared" si="0"/>
        <v>Sep - 2024</v>
      </c>
      <c r="D59" t="s">
        <v>228</v>
      </c>
      <c r="E59" t="s">
        <v>231</v>
      </c>
      <c r="F59">
        <v>6</v>
      </c>
      <c r="G59">
        <v>69195</v>
      </c>
      <c r="H59">
        <f t="shared" si="1"/>
        <v>415170</v>
      </c>
      <c r="I59" t="s">
        <v>236</v>
      </c>
      <c r="J59" t="s">
        <v>246</v>
      </c>
    </row>
    <row r="60" spans="1:10" x14ac:dyDescent="0.3">
      <c r="A60" t="s">
        <v>36</v>
      </c>
      <c r="B60" s="3">
        <v>45598</v>
      </c>
      <c r="C60" s="3" t="str">
        <f t="shared" si="0"/>
        <v>Nov - 2024</v>
      </c>
      <c r="D60" t="s">
        <v>226</v>
      </c>
      <c r="E60" t="s">
        <v>234</v>
      </c>
      <c r="F60">
        <v>6</v>
      </c>
      <c r="G60">
        <v>20909</v>
      </c>
      <c r="H60">
        <f t="shared" si="1"/>
        <v>125454</v>
      </c>
      <c r="I60" t="s">
        <v>243</v>
      </c>
      <c r="J60" t="s">
        <v>246</v>
      </c>
    </row>
    <row r="61" spans="1:10" x14ac:dyDescent="0.3">
      <c r="A61" t="s">
        <v>80</v>
      </c>
      <c r="B61" s="3">
        <v>45361</v>
      </c>
      <c r="C61" s="3" t="str">
        <f t="shared" si="0"/>
        <v>Mar - 2024</v>
      </c>
      <c r="D61" t="s">
        <v>225</v>
      </c>
      <c r="E61" t="s">
        <v>233</v>
      </c>
      <c r="F61">
        <v>7</v>
      </c>
      <c r="G61">
        <v>30968</v>
      </c>
      <c r="H61">
        <f t="shared" si="1"/>
        <v>216776</v>
      </c>
      <c r="I61" t="s">
        <v>238</v>
      </c>
      <c r="J61" t="s">
        <v>246</v>
      </c>
    </row>
    <row r="62" spans="1:10" x14ac:dyDescent="0.3">
      <c r="A62" t="s">
        <v>21</v>
      </c>
      <c r="B62" s="3">
        <v>45521</v>
      </c>
      <c r="C62" s="3" t="str">
        <f t="shared" si="0"/>
        <v>Aug - 2024</v>
      </c>
      <c r="D62" t="s">
        <v>229</v>
      </c>
      <c r="E62" t="s">
        <v>234</v>
      </c>
      <c r="F62">
        <v>5</v>
      </c>
      <c r="G62">
        <v>37006</v>
      </c>
      <c r="H62">
        <f t="shared" si="1"/>
        <v>185030</v>
      </c>
      <c r="I62" t="s">
        <v>237</v>
      </c>
      <c r="J62" t="s">
        <v>246</v>
      </c>
    </row>
    <row r="63" spans="1:10" x14ac:dyDescent="0.3">
      <c r="A63" t="s">
        <v>12</v>
      </c>
      <c r="B63" s="3">
        <v>45394</v>
      </c>
      <c r="C63" s="3" t="str">
        <f t="shared" si="0"/>
        <v>Apr - 2024</v>
      </c>
      <c r="D63" t="s">
        <v>226</v>
      </c>
      <c r="E63" t="s">
        <v>233</v>
      </c>
      <c r="F63">
        <v>7</v>
      </c>
      <c r="G63">
        <v>59359</v>
      </c>
      <c r="H63">
        <f t="shared" si="1"/>
        <v>415513</v>
      </c>
      <c r="I63" t="s">
        <v>236</v>
      </c>
      <c r="J63" t="s">
        <v>247</v>
      </c>
    </row>
    <row r="64" spans="1:10" x14ac:dyDescent="0.3">
      <c r="A64" t="s">
        <v>28</v>
      </c>
      <c r="B64" s="3">
        <v>45340</v>
      </c>
      <c r="C64" s="3" t="str">
        <f t="shared" si="0"/>
        <v>Feb - 2024</v>
      </c>
      <c r="D64" t="s">
        <v>229</v>
      </c>
      <c r="E64" t="s">
        <v>233</v>
      </c>
      <c r="F64">
        <v>4</v>
      </c>
      <c r="G64">
        <v>43313</v>
      </c>
      <c r="H64">
        <f t="shared" si="1"/>
        <v>173252</v>
      </c>
      <c r="I64" t="s">
        <v>237</v>
      </c>
      <c r="J64" t="s">
        <v>246</v>
      </c>
    </row>
    <row r="65" spans="1:10" x14ac:dyDescent="0.3">
      <c r="A65" t="s">
        <v>18</v>
      </c>
      <c r="B65" s="3">
        <v>45570</v>
      </c>
      <c r="C65" s="3" t="str">
        <f t="shared" si="0"/>
        <v>Oct - 2024</v>
      </c>
      <c r="D65" t="s">
        <v>228</v>
      </c>
      <c r="E65" t="s">
        <v>232</v>
      </c>
      <c r="F65">
        <v>1</v>
      </c>
      <c r="G65">
        <v>3629</v>
      </c>
      <c r="H65">
        <f t="shared" si="1"/>
        <v>3629</v>
      </c>
      <c r="I65" t="s">
        <v>244</v>
      </c>
      <c r="J65" t="s">
        <v>248</v>
      </c>
    </row>
    <row r="66" spans="1:10" x14ac:dyDescent="0.3">
      <c r="A66" t="s">
        <v>63</v>
      </c>
      <c r="B66" s="3">
        <v>45293</v>
      </c>
      <c r="C66" s="3" t="str">
        <f t="shared" si="0"/>
        <v>Jan - 2024</v>
      </c>
      <c r="D66" t="s">
        <v>228</v>
      </c>
      <c r="E66" t="s">
        <v>230</v>
      </c>
      <c r="F66">
        <v>5</v>
      </c>
      <c r="G66">
        <v>10921</v>
      </c>
      <c r="H66">
        <f t="shared" si="1"/>
        <v>54605</v>
      </c>
      <c r="I66" t="s">
        <v>245</v>
      </c>
      <c r="J66" t="s">
        <v>247</v>
      </c>
    </row>
    <row r="67" spans="1:10" x14ac:dyDescent="0.3">
      <c r="A67" t="s">
        <v>10</v>
      </c>
      <c r="B67" s="3">
        <v>45349</v>
      </c>
      <c r="C67" s="3" t="str">
        <f t="shared" ref="C67:C130" si="2">TEXT(B67,"mmm - yyyy")</f>
        <v>Feb - 2024</v>
      </c>
      <c r="D67" t="s">
        <v>229</v>
      </c>
      <c r="E67" t="s">
        <v>231</v>
      </c>
      <c r="F67">
        <v>4</v>
      </c>
      <c r="G67">
        <v>44196</v>
      </c>
      <c r="H67">
        <f t="shared" ref="H67:H130" si="3">F67*G67</f>
        <v>176784</v>
      </c>
      <c r="I67" t="s">
        <v>237</v>
      </c>
      <c r="J67" t="s">
        <v>248</v>
      </c>
    </row>
    <row r="68" spans="1:10" x14ac:dyDescent="0.3">
      <c r="A68" t="s">
        <v>11</v>
      </c>
      <c r="B68" s="3">
        <v>45508</v>
      </c>
      <c r="C68" s="3" t="str">
        <f t="shared" si="2"/>
        <v>Aug - 2024</v>
      </c>
      <c r="D68" t="s">
        <v>229</v>
      </c>
      <c r="E68" t="s">
        <v>231</v>
      </c>
      <c r="F68">
        <v>9</v>
      </c>
      <c r="G68">
        <v>34082</v>
      </c>
      <c r="H68">
        <f t="shared" si="3"/>
        <v>306738</v>
      </c>
      <c r="I68" t="s">
        <v>242</v>
      </c>
      <c r="J68" t="s">
        <v>246</v>
      </c>
    </row>
    <row r="69" spans="1:10" x14ac:dyDescent="0.3">
      <c r="A69" t="s">
        <v>78</v>
      </c>
      <c r="B69" s="3">
        <v>45373</v>
      </c>
      <c r="C69" s="3" t="str">
        <f t="shared" si="2"/>
        <v>Mar - 2024</v>
      </c>
      <c r="D69" t="s">
        <v>228</v>
      </c>
      <c r="E69" t="s">
        <v>233</v>
      </c>
      <c r="F69">
        <v>6</v>
      </c>
      <c r="G69">
        <v>81095</v>
      </c>
      <c r="H69">
        <f t="shared" si="3"/>
        <v>486570</v>
      </c>
      <c r="I69" t="s">
        <v>236</v>
      </c>
      <c r="J69" t="s">
        <v>248</v>
      </c>
    </row>
    <row r="70" spans="1:10" x14ac:dyDescent="0.3">
      <c r="A70" t="s">
        <v>82</v>
      </c>
      <c r="B70" s="3">
        <v>45357</v>
      </c>
      <c r="C70" s="3" t="str">
        <f t="shared" si="2"/>
        <v>Mar - 2024</v>
      </c>
      <c r="D70" t="s">
        <v>228</v>
      </c>
      <c r="E70" t="s">
        <v>232</v>
      </c>
      <c r="F70">
        <v>2</v>
      </c>
      <c r="G70">
        <v>3629</v>
      </c>
      <c r="H70">
        <f t="shared" si="3"/>
        <v>7258</v>
      </c>
      <c r="I70" t="s">
        <v>243</v>
      </c>
      <c r="J70" t="s">
        <v>247</v>
      </c>
    </row>
    <row r="71" spans="1:10" x14ac:dyDescent="0.3">
      <c r="A71" t="s">
        <v>9</v>
      </c>
      <c r="B71" s="3">
        <v>45560</v>
      </c>
      <c r="C71" s="3" t="str">
        <f t="shared" si="2"/>
        <v>Sep - 2024</v>
      </c>
      <c r="D71" t="s">
        <v>228</v>
      </c>
      <c r="E71" t="s">
        <v>233</v>
      </c>
      <c r="F71">
        <v>6</v>
      </c>
      <c r="G71">
        <v>30968</v>
      </c>
      <c r="H71">
        <f t="shared" si="3"/>
        <v>185808</v>
      </c>
      <c r="I71" t="s">
        <v>236</v>
      </c>
      <c r="J71" t="s">
        <v>246</v>
      </c>
    </row>
    <row r="72" spans="1:10" x14ac:dyDescent="0.3">
      <c r="A72" t="s">
        <v>58</v>
      </c>
      <c r="B72" s="3">
        <v>45500</v>
      </c>
      <c r="C72" s="3" t="str">
        <f t="shared" si="2"/>
        <v>Jul - 2024</v>
      </c>
      <c r="D72" t="s">
        <v>225</v>
      </c>
      <c r="E72" t="s">
        <v>230</v>
      </c>
      <c r="F72">
        <v>7</v>
      </c>
      <c r="G72">
        <v>85651</v>
      </c>
      <c r="H72">
        <f t="shared" si="3"/>
        <v>599557</v>
      </c>
      <c r="I72" t="s">
        <v>239</v>
      </c>
      <c r="J72" t="s">
        <v>246</v>
      </c>
    </row>
    <row r="73" spans="1:10" x14ac:dyDescent="0.3">
      <c r="A73" t="s">
        <v>29</v>
      </c>
      <c r="B73" s="3">
        <v>45462</v>
      </c>
      <c r="C73" s="3" t="str">
        <f t="shared" si="2"/>
        <v>Jun - 2024</v>
      </c>
      <c r="D73" t="s">
        <v>228</v>
      </c>
      <c r="E73" t="s">
        <v>233</v>
      </c>
      <c r="F73">
        <v>6</v>
      </c>
      <c r="G73">
        <v>30968</v>
      </c>
      <c r="H73">
        <f t="shared" si="3"/>
        <v>185808</v>
      </c>
      <c r="I73" t="s">
        <v>240</v>
      </c>
      <c r="J73" t="s">
        <v>248</v>
      </c>
    </row>
    <row r="74" spans="1:10" x14ac:dyDescent="0.3">
      <c r="A74" t="s">
        <v>44</v>
      </c>
      <c r="B74" s="3">
        <v>45573</v>
      </c>
      <c r="C74" s="3" t="str">
        <f t="shared" si="2"/>
        <v>Oct - 2024</v>
      </c>
      <c r="D74" t="s">
        <v>229</v>
      </c>
      <c r="E74" t="s">
        <v>230</v>
      </c>
      <c r="F74">
        <v>5</v>
      </c>
      <c r="G74">
        <v>39344</v>
      </c>
      <c r="H74">
        <f t="shared" si="3"/>
        <v>196720</v>
      </c>
      <c r="I74" t="s">
        <v>240</v>
      </c>
      <c r="J74" t="s">
        <v>248</v>
      </c>
    </row>
    <row r="75" spans="1:10" x14ac:dyDescent="0.3">
      <c r="A75" t="s">
        <v>76</v>
      </c>
      <c r="B75" s="3">
        <v>45501</v>
      </c>
      <c r="C75" s="3" t="str">
        <f t="shared" si="2"/>
        <v>Jul - 2024</v>
      </c>
      <c r="D75" t="s">
        <v>229</v>
      </c>
      <c r="E75" t="s">
        <v>232</v>
      </c>
      <c r="F75">
        <v>7</v>
      </c>
      <c r="G75">
        <v>3629</v>
      </c>
      <c r="H75">
        <f t="shared" si="3"/>
        <v>25403</v>
      </c>
      <c r="I75" t="s">
        <v>244</v>
      </c>
      <c r="J75" t="s">
        <v>246</v>
      </c>
    </row>
    <row r="76" spans="1:10" x14ac:dyDescent="0.3">
      <c r="A76" t="s">
        <v>48</v>
      </c>
      <c r="B76" s="3">
        <v>45453</v>
      </c>
      <c r="C76" s="3" t="str">
        <f t="shared" si="2"/>
        <v>Jun - 2024</v>
      </c>
      <c r="D76" t="s">
        <v>228</v>
      </c>
      <c r="E76" t="s">
        <v>232</v>
      </c>
      <c r="F76">
        <v>4</v>
      </c>
      <c r="G76">
        <v>3629</v>
      </c>
      <c r="H76">
        <f t="shared" si="3"/>
        <v>14516</v>
      </c>
      <c r="I76" t="s">
        <v>237</v>
      </c>
      <c r="J76" t="s">
        <v>248</v>
      </c>
    </row>
    <row r="77" spans="1:10" x14ac:dyDescent="0.3">
      <c r="B77" s="3">
        <v>45471</v>
      </c>
      <c r="C77" s="3" t="str">
        <f t="shared" si="2"/>
        <v>Jun - 2024</v>
      </c>
      <c r="D77" t="s">
        <v>226</v>
      </c>
      <c r="E77" t="s">
        <v>234</v>
      </c>
      <c r="F77">
        <v>9</v>
      </c>
      <c r="G77">
        <v>20909</v>
      </c>
      <c r="H77">
        <f t="shared" si="3"/>
        <v>188181</v>
      </c>
      <c r="I77" t="s">
        <v>243</v>
      </c>
      <c r="J77" t="s">
        <v>248</v>
      </c>
    </row>
    <row r="78" spans="1:10" x14ac:dyDescent="0.3">
      <c r="B78" s="3">
        <v>45521</v>
      </c>
      <c r="C78" s="3" t="str">
        <f t="shared" si="2"/>
        <v>Aug - 2024</v>
      </c>
      <c r="D78" t="s">
        <v>225</v>
      </c>
      <c r="E78" t="s">
        <v>231</v>
      </c>
      <c r="F78">
        <v>6</v>
      </c>
      <c r="G78">
        <v>69467</v>
      </c>
      <c r="H78">
        <f t="shared" si="3"/>
        <v>416802</v>
      </c>
      <c r="I78" t="s">
        <v>244</v>
      </c>
      <c r="J78" t="s">
        <v>248</v>
      </c>
    </row>
    <row r="79" spans="1:10" x14ac:dyDescent="0.3">
      <c r="B79" s="3">
        <v>45560</v>
      </c>
      <c r="C79" s="3" t="str">
        <f t="shared" si="2"/>
        <v>Sep - 2024</v>
      </c>
      <c r="D79" t="s">
        <v>228</v>
      </c>
      <c r="E79" t="s">
        <v>233</v>
      </c>
      <c r="F79">
        <v>1</v>
      </c>
      <c r="G79">
        <v>30968</v>
      </c>
      <c r="H79">
        <f t="shared" si="3"/>
        <v>30968</v>
      </c>
      <c r="I79" t="s">
        <v>244</v>
      </c>
      <c r="J79" t="s">
        <v>246</v>
      </c>
    </row>
    <row r="80" spans="1:10" x14ac:dyDescent="0.3">
      <c r="B80" s="3">
        <v>45539</v>
      </c>
      <c r="C80" s="3" t="str">
        <f t="shared" si="2"/>
        <v>Sep - 2024</v>
      </c>
      <c r="D80" t="s">
        <v>225</v>
      </c>
      <c r="E80" t="s">
        <v>230</v>
      </c>
      <c r="F80">
        <v>6</v>
      </c>
      <c r="G80">
        <v>42245</v>
      </c>
      <c r="H80">
        <f t="shared" si="3"/>
        <v>253470</v>
      </c>
      <c r="I80" t="s">
        <v>240</v>
      </c>
      <c r="J80" t="s">
        <v>246</v>
      </c>
    </row>
    <row r="81" spans="2:10" x14ac:dyDescent="0.3">
      <c r="B81" s="3">
        <v>45336</v>
      </c>
      <c r="C81" s="3" t="str">
        <f t="shared" si="2"/>
        <v>Feb - 2024</v>
      </c>
      <c r="D81" t="s">
        <v>225</v>
      </c>
      <c r="E81" t="s">
        <v>232</v>
      </c>
      <c r="F81">
        <v>6</v>
      </c>
      <c r="G81">
        <v>3629</v>
      </c>
      <c r="H81">
        <f t="shared" si="3"/>
        <v>21774</v>
      </c>
      <c r="I81" t="s">
        <v>238</v>
      </c>
      <c r="J81" t="s">
        <v>248</v>
      </c>
    </row>
    <row r="82" spans="2:10" x14ac:dyDescent="0.3">
      <c r="B82" s="3">
        <v>45641</v>
      </c>
      <c r="C82" s="3" t="str">
        <f t="shared" si="2"/>
        <v>Dec - 2024</v>
      </c>
      <c r="D82" t="s">
        <v>228</v>
      </c>
      <c r="E82" t="s">
        <v>233</v>
      </c>
      <c r="F82">
        <v>10</v>
      </c>
      <c r="G82">
        <v>30968</v>
      </c>
      <c r="H82">
        <f t="shared" si="3"/>
        <v>309680</v>
      </c>
      <c r="I82" t="s">
        <v>245</v>
      </c>
      <c r="J82" t="s">
        <v>247</v>
      </c>
    </row>
    <row r="83" spans="2:10" x14ac:dyDescent="0.3">
      <c r="B83" s="3">
        <v>45326</v>
      </c>
      <c r="C83" s="3" t="str">
        <f t="shared" si="2"/>
        <v>Feb - 2024</v>
      </c>
      <c r="D83" t="s">
        <v>228</v>
      </c>
      <c r="E83" t="s">
        <v>232</v>
      </c>
      <c r="F83">
        <v>6</v>
      </c>
      <c r="G83">
        <v>3629</v>
      </c>
      <c r="H83">
        <f t="shared" si="3"/>
        <v>21774</v>
      </c>
      <c r="I83" t="s">
        <v>239</v>
      </c>
      <c r="J83" t="s">
        <v>247</v>
      </c>
    </row>
    <row r="84" spans="2:10" x14ac:dyDescent="0.3">
      <c r="B84" s="3">
        <v>45311</v>
      </c>
      <c r="C84" s="3" t="str">
        <f t="shared" si="2"/>
        <v>Jan - 2024</v>
      </c>
      <c r="D84" t="s">
        <v>228</v>
      </c>
      <c r="E84" t="s">
        <v>235</v>
      </c>
      <c r="F84">
        <v>6</v>
      </c>
      <c r="G84">
        <v>22712</v>
      </c>
      <c r="H84">
        <f t="shared" si="3"/>
        <v>136272</v>
      </c>
      <c r="I84" t="s">
        <v>241</v>
      </c>
      <c r="J84" t="s">
        <v>248</v>
      </c>
    </row>
    <row r="85" spans="2:10" x14ac:dyDescent="0.3">
      <c r="B85" s="3">
        <v>45389</v>
      </c>
      <c r="C85" s="3" t="str">
        <f t="shared" si="2"/>
        <v>Apr - 2024</v>
      </c>
      <c r="D85" t="s">
        <v>229</v>
      </c>
      <c r="E85" t="s">
        <v>233</v>
      </c>
      <c r="F85">
        <v>6</v>
      </c>
      <c r="G85">
        <v>51317</v>
      </c>
      <c r="H85">
        <f t="shared" si="3"/>
        <v>307902</v>
      </c>
      <c r="I85" t="s">
        <v>242</v>
      </c>
      <c r="J85" t="s">
        <v>246</v>
      </c>
    </row>
    <row r="86" spans="2:10" x14ac:dyDescent="0.3">
      <c r="B86" s="3">
        <v>45440</v>
      </c>
      <c r="C86" s="3" t="str">
        <f t="shared" si="2"/>
        <v>May - 2024</v>
      </c>
      <c r="D86" t="s">
        <v>225</v>
      </c>
      <c r="E86" t="s">
        <v>232</v>
      </c>
      <c r="F86">
        <v>6</v>
      </c>
      <c r="G86">
        <v>29216</v>
      </c>
      <c r="H86">
        <f t="shared" si="3"/>
        <v>175296</v>
      </c>
      <c r="I86" t="s">
        <v>245</v>
      </c>
      <c r="J86" t="s">
        <v>248</v>
      </c>
    </row>
    <row r="87" spans="2:10" x14ac:dyDescent="0.3">
      <c r="B87" s="3">
        <v>45383</v>
      </c>
      <c r="C87" s="3" t="str">
        <f t="shared" si="2"/>
        <v>Apr - 2024</v>
      </c>
      <c r="D87" t="s">
        <v>229</v>
      </c>
      <c r="E87" t="s">
        <v>231</v>
      </c>
      <c r="F87">
        <v>6</v>
      </c>
      <c r="G87">
        <v>34082</v>
      </c>
      <c r="H87">
        <f t="shared" si="3"/>
        <v>204492</v>
      </c>
      <c r="I87" t="s">
        <v>237</v>
      </c>
      <c r="J87" t="s">
        <v>246</v>
      </c>
    </row>
    <row r="88" spans="2:10" x14ac:dyDescent="0.3">
      <c r="B88" s="3">
        <v>45577</v>
      </c>
      <c r="C88" s="3" t="str">
        <f t="shared" si="2"/>
        <v>Oct - 2024</v>
      </c>
      <c r="D88" t="s">
        <v>228</v>
      </c>
      <c r="E88" t="s">
        <v>232</v>
      </c>
      <c r="F88">
        <v>4</v>
      </c>
      <c r="G88">
        <v>3509</v>
      </c>
      <c r="H88">
        <f t="shared" si="3"/>
        <v>14036</v>
      </c>
      <c r="I88" t="s">
        <v>236</v>
      </c>
      <c r="J88" t="s">
        <v>246</v>
      </c>
    </row>
    <row r="89" spans="2:10" x14ac:dyDescent="0.3">
      <c r="B89" s="3">
        <v>45306</v>
      </c>
      <c r="C89" s="3" t="str">
        <f t="shared" si="2"/>
        <v>Jan - 2024</v>
      </c>
      <c r="D89" t="s">
        <v>228</v>
      </c>
      <c r="E89" t="s">
        <v>232</v>
      </c>
      <c r="F89">
        <v>6</v>
      </c>
      <c r="G89">
        <v>76095</v>
      </c>
      <c r="H89">
        <f t="shared" si="3"/>
        <v>456570</v>
      </c>
      <c r="I89" t="s">
        <v>245</v>
      </c>
      <c r="J89" t="s">
        <v>247</v>
      </c>
    </row>
    <row r="90" spans="2:10" x14ac:dyDescent="0.3">
      <c r="B90" s="3">
        <v>45490</v>
      </c>
      <c r="C90" s="3" t="str">
        <f t="shared" si="2"/>
        <v>Jul - 2024</v>
      </c>
      <c r="D90" t="s">
        <v>229</v>
      </c>
      <c r="E90" t="s">
        <v>231</v>
      </c>
      <c r="F90">
        <v>7</v>
      </c>
      <c r="G90">
        <v>52219</v>
      </c>
      <c r="H90">
        <f t="shared" si="3"/>
        <v>365533</v>
      </c>
      <c r="I90" t="s">
        <v>245</v>
      </c>
      <c r="J90" t="s">
        <v>246</v>
      </c>
    </row>
    <row r="91" spans="2:10" x14ac:dyDescent="0.3">
      <c r="B91" s="3">
        <v>45599</v>
      </c>
      <c r="C91" s="3" t="str">
        <f t="shared" si="2"/>
        <v>Nov - 2024</v>
      </c>
      <c r="D91" t="s">
        <v>228</v>
      </c>
      <c r="E91" t="s">
        <v>235</v>
      </c>
      <c r="F91">
        <v>9</v>
      </c>
      <c r="G91">
        <v>39296</v>
      </c>
      <c r="H91">
        <f t="shared" si="3"/>
        <v>353664</v>
      </c>
      <c r="I91" t="s">
        <v>244</v>
      </c>
      <c r="J91" t="s">
        <v>248</v>
      </c>
    </row>
    <row r="92" spans="2:10" x14ac:dyDescent="0.3">
      <c r="B92" s="3">
        <v>45578</v>
      </c>
      <c r="C92" s="3" t="str">
        <f t="shared" si="2"/>
        <v>Oct - 2024</v>
      </c>
      <c r="D92" t="s">
        <v>228</v>
      </c>
      <c r="E92" t="s">
        <v>232</v>
      </c>
      <c r="F92">
        <v>6</v>
      </c>
      <c r="G92">
        <v>3629</v>
      </c>
      <c r="H92">
        <f t="shared" si="3"/>
        <v>21774</v>
      </c>
      <c r="I92" t="s">
        <v>241</v>
      </c>
      <c r="J92" t="s">
        <v>247</v>
      </c>
    </row>
    <row r="93" spans="2:10" x14ac:dyDescent="0.3">
      <c r="B93" s="3">
        <v>45626</v>
      </c>
      <c r="C93" s="3" t="str">
        <f t="shared" si="2"/>
        <v>Nov - 2024</v>
      </c>
      <c r="D93" t="s">
        <v>225</v>
      </c>
      <c r="E93" t="s">
        <v>235</v>
      </c>
      <c r="F93">
        <v>6</v>
      </c>
      <c r="G93">
        <v>26694</v>
      </c>
      <c r="H93">
        <f t="shared" si="3"/>
        <v>160164</v>
      </c>
      <c r="I93" t="s">
        <v>242</v>
      </c>
      <c r="J93" t="s">
        <v>248</v>
      </c>
    </row>
    <row r="94" spans="2:10" x14ac:dyDescent="0.3">
      <c r="B94" s="3">
        <v>45341</v>
      </c>
      <c r="C94" s="3" t="str">
        <f t="shared" si="2"/>
        <v>Feb - 2024</v>
      </c>
      <c r="D94" t="s">
        <v>226</v>
      </c>
      <c r="E94" t="s">
        <v>234</v>
      </c>
      <c r="F94">
        <v>6</v>
      </c>
      <c r="G94">
        <v>37711</v>
      </c>
      <c r="H94">
        <f t="shared" si="3"/>
        <v>226266</v>
      </c>
      <c r="I94" t="s">
        <v>244</v>
      </c>
      <c r="J94" t="s">
        <v>247</v>
      </c>
    </row>
    <row r="95" spans="2:10" x14ac:dyDescent="0.3">
      <c r="B95" s="3">
        <v>45459</v>
      </c>
      <c r="C95" s="3" t="str">
        <f t="shared" si="2"/>
        <v>Jun - 2024</v>
      </c>
      <c r="D95" t="s">
        <v>229</v>
      </c>
      <c r="E95" t="s">
        <v>231</v>
      </c>
      <c r="F95">
        <v>6</v>
      </c>
      <c r="G95">
        <v>12794</v>
      </c>
      <c r="H95">
        <f t="shared" si="3"/>
        <v>76764</v>
      </c>
      <c r="I95" t="s">
        <v>244</v>
      </c>
      <c r="J95" t="s">
        <v>248</v>
      </c>
    </row>
    <row r="96" spans="2:10" x14ac:dyDescent="0.3">
      <c r="B96" s="3">
        <v>45371</v>
      </c>
      <c r="C96" s="3" t="str">
        <f t="shared" si="2"/>
        <v>Mar - 2024</v>
      </c>
      <c r="D96" t="s">
        <v>228</v>
      </c>
      <c r="E96" t="s">
        <v>235</v>
      </c>
      <c r="F96">
        <v>4</v>
      </c>
      <c r="G96">
        <v>38501</v>
      </c>
      <c r="H96">
        <f t="shared" si="3"/>
        <v>154004</v>
      </c>
      <c r="I96" t="s">
        <v>238</v>
      </c>
      <c r="J96" t="s">
        <v>248</v>
      </c>
    </row>
    <row r="97" spans="2:10" x14ac:dyDescent="0.3">
      <c r="B97" s="3">
        <v>45536</v>
      </c>
      <c r="C97" s="3" t="str">
        <f t="shared" si="2"/>
        <v>Sep - 2024</v>
      </c>
      <c r="D97" t="s">
        <v>229</v>
      </c>
      <c r="E97" t="s">
        <v>230</v>
      </c>
      <c r="F97">
        <v>6</v>
      </c>
      <c r="G97">
        <v>17041</v>
      </c>
      <c r="H97">
        <f t="shared" si="3"/>
        <v>102246</v>
      </c>
      <c r="I97" t="s">
        <v>236</v>
      </c>
      <c r="J97" t="s">
        <v>248</v>
      </c>
    </row>
    <row r="98" spans="2:10" x14ac:dyDescent="0.3">
      <c r="B98" s="3">
        <v>45403</v>
      </c>
      <c r="C98" s="3" t="str">
        <f t="shared" si="2"/>
        <v>Apr - 2024</v>
      </c>
      <c r="D98" t="s">
        <v>229</v>
      </c>
      <c r="E98" t="s">
        <v>233</v>
      </c>
      <c r="F98">
        <v>9</v>
      </c>
      <c r="G98">
        <v>85766</v>
      </c>
      <c r="H98">
        <f t="shared" si="3"/>
        <v>771894</v>
      </c>
      <c r="I98" t="s">
        <v>240</v>
      </c>
      <c r="J98" t="s">
        <v>246</v>
      </c>
    </row>
    <row r="99" spans="2:10" x14ac:dyDescent="0.3">
      <c r="B99" s="3">
        <v>45436</v>
      </c>
      <c r="C99" s="3" t="str">
        <f t="shared" si="2"/>
        <v>May - 2024</v>
      </c>
      <c r="D99" t="s">
        <v>228</v>
      </c>
      <c r="E99" t="s">
        <v>235</v>
      </c>
      <c r="F99">
        <v>6</v>
      </c>
      <c r="G99">
        <v>67861</v>
      </c>
      <c r="H99">
        <f t="shared" si="3"/>
        <v>407166</v>
      </c>
      <c r="I99" t="s">
        <v>237</v>
      </c>
      <c r="J99" t="s">
        <v>248</v>
      </c>
    </row>
    <row r="100" spans="2:10" x14ac:dyDescent="0.3">
      <c r="B100" s="3">
        <v>45465</v>
      </c>
      <c r="C100" s="3" t="str">
        <f t="shared" si="2"/>
        <v>Jun - 2024</v>
      </c>
      <c r="D100" t="s">
        <v>229</v>
      </c>
      <c r="E100" t="s">
        <v>230</v>
      </c>
      <c r="F100">
        <v>6</v>
      </c>
      <c r="G100">
        <v>10921</v>
      </c>
      <c r="H100">
        <f t="shared" si="3"/>
        <v>65526</v>
      </c>
      <c r="I100" t="s">
        <v>241</v>
      </c>
      <c r="J100" t="s">
        <v>246</v>
      </c>
    </row>
    <row r="101" spans="2:10" x14ac:dyDescent="0.3">
      <c r="B101" s="3">
        <v>45322</v>
      </c>
      <c r="C101" s="3" t="str">
        <f t="shared" si="2"/>
        <v>Jan - 2024</v>
      </c>
      <c r="D101" t="s">
        <v>228</v>
      </c>
      <c r="E101" t="s">
        <v>231</v>
      </c>
      <c r="F101">
        <v>6</v>
      </c>
      <c r="G101">
        <v>41179</v>
      </c>
      <c r="H101">
        <f t="shared" si="3"/>
        <v>247074</v>
      </c>
      <c r="I101" t="s">
        <v>243</v>
      </c>
      <c r="J101" t="s">
        <v>248</v>
      </c>
    </row>
    <row r="102" spans="2:10" x14ac:dyDescent="0.3">
      <c r="B102" s="3">
        <v>45523</v>
      </c>
      <c r="C102" s="3" t="str">
        <f t="shared" si="2"/>
        <v>Aug - 2024</v>
      </c>
      <c r="D102" t="s">
        <v>229</v>
      </c>
      <c r="E102" t="s">
        <v>234</v>
      </c>
      <c r="F102">
        <v>3</v>
      </c>
      <c r="G102">
        <v>20909</v>
      </c>
      <c r="H102">
        <f t="shared" si="3"/>
        <v>62727</v>
      </c>
      <c r="I102" t="s">
        <v>238</v>
      </c>
      <c r="J102" t="s">
        <v>246</v>
      </c>
    </row>
    <row r="103" spans="2:10" x14ac:dyDescent="0.3">
      <c r="B103" s="3">
        <v>45606</v>
      </c>
      <c r="C103" s="3" t="str">
        <f t="shared" si="2"/>
        <v>Nov - 2024</v>
      </c>
      <c r="D103" t="s">
        <v>229</v>
      </c>
      <c r="E103" t="s">
        <v>231</v>
      </c>
      <c r="F103">
        <v>6</v>
      </c>
      <c r="G103">
        <v>34082</v>
      </c>
      <c r="H103">
        <f t="shared" si="3"/>
        <v>204492</v>
      </c>
      <c r="I103" t="s">
        <v>244</v>
      </c>
      <c r="J103" t="s">
        <v>247</v>
      </c>
    </row>
    <row r="104" spans="2:10" x14ac:dyDescent="0.3">
      <c r="B104" s="3">
        <v>45570</v>
      </c>
      <c r="C104" s="3" t="str">
        <f t="shared" si="2"/>
        <v>Oct - 2024</v>
      </c>
      <c r="D104" t="s">
        <v>229</v>
      </c>
      <c r="E104" t="s">
        <v>234</v>
      </c>
      <c r="F104">
        <v>6</v>
      </c>
      <c r="G104">
        <v>20909</v>
      </c>
      <c r="H104">
        <f t="shared" si="3"/>
        <v>125454</v>
      </c>
      <c r="I104" t="s">
        <v>242</v>
      </c>
      <c r="J104" t="s">
        <v>247</v>
      </c>
    </row>
    <row r="105" spans="2:10" x14ac:dyDescent="0.3">
      <c r="B105" s="3">
        <v>45370</v>
      </c>
      <c r="C105" s="3" t="str">
        <f t="shared" si="2"/>
        <v>Mar - 2024</v>
      </c>
      <c r="D105" t="s">
        <v>229</v>
      </c>
      <c r="E105" t="s">
        <v>232</v>
      </c>
      <c r="F105">
        <v>10</v>
      </c>
      <c r="G105">
        <v>3629</v>
      </c>
      <c r="H105">
        <f t="shared" si="3"/>
        <v>36290</v>
      </c>
      <c r="I105" t="s">
        <v>241</v>
      </c>
      <c r="J105" t="s">
        <v>248</v>
      </c>
    </row>
    <row r="106" spans="2:10" x14ac:dyDescent="0.3">
      <c r="B106" s="3">
        <v>45632</v>
      </c>
      <c r="C106" s="3" t="str">
        <f t="shared" si="2"/>
        <v>Dec - 2024</v>
      </c>
      <c r="D106" t="s">
        <v>225</v>
      </c>
      <c r="E106" t="s">
        <v>234</v>
      </c>
      <c r="F106">
        <v>6</v>
      </c>
      <c r="G106">
        <v>78574</v>
      </c>
      <c r="H106">
        <f t="shared" si="3"/>
        <v>471444</v>
      </c>
      <c r="I106" t="s">
        <v>237</v>
      </c>
      <c r="J106" t="s">
        <v>246</v>
      </c>
    </row>
    <row r="107" spans="2:10" x14ac:dyDescent="0.3">
      <c r="B107" s="3">
        <v>45347</v>
      </c>
      <c r="C107" s="3" t="str">
        <f t="shared" si="2"/>
        <v>Feb - 2024</v>
      </c>
      <c r="D107" t="s">
        <v>228</v>
      </c>
      <c r="E107" t="s">
        <v>230</v>
      </c>
      <c r="F107">
        <v>4</v>
      </c>
      <c r="G107">
        <v>25936</v>
      </c>
      <c r="H107">
        <f t="shared" si="3"/>
        <v>103744</v>
      </c>
      <c r="I107" t="s">
        <v>238</v>
      </c>
      <c r="J107" t="s">
        <v>248</v>
      </c>
    </row>
    <row r="108" spans="2:10" x14ac:dyDescent="0.3">
      <c r="B108" s="3">
        <v>45503</v>
      </c>
      <c r="C108" s="3" t="str">
        <f t="shared" si="2"/>
        <v>Jul - 2024</v>
      </c>
      <c r="D108" t="s">
        <v>228</v>
      </c>
      <c r="E108" t="s">
        <v>230</v>
      </c>
      <c r="F108">
        <v>6</v>
      </c>
      <c r="G108">
        <v>10921</v>
      </c>
      <c r="H108">
        <f t="shared" si="3"/>
        <v>65526</v>
      </c>
      <c r="I108" t="s">
        <v>238</v>
      </c>
      <c r="J108" t="s">
        <v>246</v>
      </c>
    </row>
    <row r="109" spans="2:10" x14ac:dyDescent="0.3">
      <c r="B109" s="3">
        <v>45293</v>
      </c>
      <c r="C109" s="3" t="str">
        <f t="shared" si="2"/>
        <v>Jan - 2024</v>
      </c>
      <c r="D109" t="s">
        <v>226</v>
      </c>
      <c r="E109" t="s">
        <v>234</v>
      </c>
      <c r="F109">
        <v>9</v>
      </c>
      <c r="G109">
        <v>20909</v>
      </c>
      <c r="H109">
        <f t="shared" si="3"/>
        <v>188181</v>
      </c>
      <c r="I109" t="s">
        <v>237</v>
      </c>
      <c r="J109" t="s">
        <v>246</v>
      </c>
    </row>
    <row r="110" spans="2:10" x14ac:dyDescent="0.3">
      <c r="B110" s="3">
        <v>45593</v>
      </c>
      <c r="C110" s="3" t="str">
        <f t="shared" si="2"/>
        <v>Oct - 2024</v>
      </c>
      <c r="D110" t="s">
        <v>228</v>
      </c>
      <c r="E110" t="s">
        <v>230</v>
      </c>
      <c r="F110">
        <v>6</v>
      </c>
      <c r="G110">
        <v>10921</v>
      </c>
      <c r="H110">
        <f t="shared" si="3"/>
        <v>65526</v>
      </c>
      <c r="I110" t="s">
        <v>236</v>
      </c>
      <c r="J110" t="s">
        <v>248</v>
      </c>
    </row>
    <row r="111" spans="2:10" x14ac:dyDescent="0.3">
      <c r="B111" s="3">
        <v>45606</v>
      </c>
      <c r="C111" s="3" t="str">
        <f t="shared" si="2"/>
        <v>Nov - 2024</v>
      </c>
      <c r="D111" t="s">
        <v>226</v>
      </c>
      <c r="E111" t="s">
        <v>234</v>
      </c>
      <c r="F111">
        <v>6</v>
      </c>
      <c r="G111">
        <v>49346</v>
      </c>
      <c r="H111">
        <f t="shared" si="3"/>
        <v>296076</v>
      </c>
      <c r="I111" t="s">
        <v>240</v>
      </c>
      <c r="J111" t="s">
        <v>248</v>
      </c>
    </row>
    <row r="112" spans="2:10" x14ac:dyDescent="0.3">
      <c r="B112" s="3">
        <v>45379</v>
      </c>
      <c r="C112" s="3" t="str">
        <f t="shared" si="2"/>
        <v>Mar - 2024</v>
      </c>
      <c r="D112" t="s">
        <v>229</v>
      </c>
      <c r="E112" t="s">
        <v>233</v>
      </c>
      <c r="F112">
        <v>6</v>
      </c>
      <c r="G112">
        <v>56378</v>
      </c>
      <c r="H112">
        <f t="shared" si="3"/>
        <v>338268</v>
      </c>
      <c r="I112" t="s">
        <v>244</v>
      </c>
      <c r="J112" t="s">
        <v>248</v>
      </c>
    </row>
    <row r="113" spans="2:10" x14ac:dyDescent="0.3">
      <c r="B113" s="3">
        <v>45408</v>
      </c>
      <c r="C113" s="3" t="str">
        <f t="shared" si="2"/>
        <v>Apr - 2024</v>
      </c>
      <c r="D113" t="s">
        <v>229</v>
      </c>
      <c r="E113" t="s">
        <v>232</v>
      </c>
      <c r="F113">
        <v>7</v>
      </c>
      <c r="G113">
        <v>3629</v>
      </c>
      <c r="H113">
        <f t="shared" si="3"/>
        <v>25403</v>
      </c>
      <c r="I113" t="s">
        <v>238</v>
      </c>
      <c r="J113" t="s">
        <v>247</v>
      </c>
    </row>
    <row r="114" spans="2:10" x14ac:dyDescent="0.3">
      <c r="B114" s="3">
        <v>45595</v>
      </c>
      <c r="C114" s="3" t="str">
        <f t="shared" si="2"/>
        <v>Oct - 2024</v>
      </c>
      <c r="D114" t="s">
        <v>228</v>
      </c>
      <c r="E114" t="s">
        <v>231</v>
      </c>
      <c r="F114">
        <v>3</v>
      </c>
      <c r="G114">
        <v>34082</v>
      </c>
      <c r="H114">
        <f t="shared" si="3"/>
        <v>102246</v>
      </c>
      <c r="I114" t="s">
        <v>242</v>
      </c>
      <c r="J114" t="s">
        <v>247</v>
      </c>
    </row>
    <row r="115" spans="2:10" x14ac:dyDescent="0.3">
      <c r="B115" s="3">
        <v>45500</v>
      </c>
      <c r="C115" s="3" t="str">
        <f t="shared" si="2"/>
        <v>Jul - 2024</v>
      </c>
      <c r="D115" t="s">
        <v>228</v>
      </c>
      <c r="E115" t="s">
        <v>235</v>
      </c>
      <c r="F115">
        <v>6</v>
      </c>
      <c r="G115">
        <v>26694</v>
      </c>
      <c r="H115">
        <f t="shared" si="3"/>
        <v>160164</v>
      </c>
      <c r="I115" t="s">
        <v>245</v>
      </c>
      <c r="J115" t="s">
        <v>248</v>
      </c>
    </row>
    <row r="116" spans="2:10" x14ac:dyDescent="0.3">
      <c r="B116" s="3">
        <v>45296</v>
      </c>
      <c r="C116" s="3" t="str">
        <f t="shared" si="2"/>
        <v>Jan - 2024</v>
      </c>
      <c r="D116" t="s">
        <v>225</v>
      </c>
      <c r="E116" t="s">
        <v>231</v>
      </c>
      <c r="F116">
        <v>6</v>
      </c>
      <c r="G116">
        <v>8624</v>
      </c>
      <c r="H116">
        <f t="shared" si="3"/>
        <v>51744</v>
      </c>
      <c r="I116" t="s">
        <v>243</v>
      </c>
      <c r="J116" t="s">
        <v>247</v>
      </c>
    </row>
    <row r="117" spans="2:10" x14ac:dyDescent="0.3">
      <c r="B117" s="3">
        <v>45579</v>
      </c>
      <c r="C117" s="3" t="str">
        <f t="shared" si="2"/>
        <v>Oct - 2024</v>
      </c>
      <c r="D117" t="s">
        <v>228</v>
      </c>
      <c r="E117" t="s">
        <v>233</v>
      </c>
      <c r="F117">
        <v>6</v>
      </c>
      <c r="G117">
        <v>77730</v>
      </c>
      <c r="H117">
        <f t="shared" si="3"/>
        <v>466380</v>
      </c>
      <c r="I117" t="s">
        <v>238</v>
      </c>
      <c r="J117" t="s">
        <v>248</v>
      </c>
    </row>
    <row r="118" spans="2:10" x14ac:dyDescent="0.3">
      <c r="B118" s="3">
        <v>45513</v>
      </c>
      <c r="C118" s="3" t="str">
        <f t="shared" si="2"/>
        <v>Aug - 2024</v>
      </c>
      <c r="D118" t="s">
        <v>229</v>
      </c>
      <c r="E118" t="s">
        <v>232</v>
      </c>
      <c r="F118">
        <v>2</v>
      </c>
      <c r="G118">
        <v>3629</v>
      </c>
      <c r="H118">
        <f t="shared" si="3"/>
        <v>7258</v>
      </c>
      <c r="I118" t="s">
        <v>240</v>
      </c>
      <c r="J118" t="s">
        <v>248</v>
      </c>
    </row>
    <row r="119" spans="2:10" x14ac:dyDescent="0.3">
      <c r="B119" s="3">
        <v>45507</v>
      </c>
      <c r="C119" s="3" t="str">
        <f t="shared" si="2"/>
        <v>Aug - 2024</v>
      </c>
      <c r="D119" t="s">
        <v>228</v>
      </c>
      <c r="E119" t="s">
        <v>230</v>
      </c>
      <c r="F119">
        <v>6</v>
      </c>
      <c r="G119">
        <v>58867</v>
      </c>
      <c r="H119">
        <f t="shared" si="3"/>
        <v>353202</v>
      </c>
      <c r="I119" t="s">
        <v>245</v>
      </c>
      <c r="J119" t="s">
        <v>248</v>
      </c>
    </row>
    <row r="120" spans="2:10" x14ac:dyDescent="0.3">
      <c r="B120" s="3">
        <v>45294</v>
      </c>
      <c r="C120" s="3" t="str">
        <f t="shared" si="2"/>
        <v>Jan - 2024</v>
      </c>
      <c r="D120" t="s">
        <v>229</v>
      </c>
      <c r="E120" t="s">
        <v>231</v>
      </c>
      <c r="F120">
        <v>6</v>
      </c>
      <c r="G120">
        <v>41460</v>
      </c>
      <c r="H120">
        <f t="shared" si="3"/>
        <v>248760</v>
      </c>
      <c r="I120" t="s">
        <v>239</v>
      </c>
      <c r="J120" t="s">
        <v>248</v>
      </c>
    </row>
    <row r="121" spans="2:10" x14ac:dyDescent="0.3">
      <c r="B121" s="3">
        <v>45569</v>
      </c>
      <c r="C121" s="3" t="str">
        <f t="shared" si="2"/>
        <v>Oct - 2024</v>
      </c>
      <c r="D121" t="s">
        <v>228</v>
      </c>
      <c r="E121" t="s">
        <v>235</v>
      </c>
      <c r="F121">
        <v>6</v>
      </c>
      <c r="G121">
        <v>54007</v>
      </c>
      <c r="H121">
        <f t="shared" si="3"/>
        <v>324042</v>
      </c>
      <c r="I121" t="s">
        <v>243</v>
      </c>
      <c r="J121" t="s">
        <v>246</v>
      </c>
    </row>
    <row r="122" spans="2:10" x14ac:dyDescent="0.3">
      <c r="B122" s="3">
        <v>45505</v>
      </c>
      <c r="C122" s="3" t="str">
        <f t="shared" si="2"/>
        <v>Aug - 2024</v>
      </c>
      <c r="D122" t="s">
        <v>225</v>
      </c>
      <c r="E122" t="s">
        <v>232</v>
      </c>
      <c r="F122">
        <v>3</v>
      </c>
      <c r="G122">
        <v>3629</v>
      </c>
      <c r="H122">
        <f t="shared" si="3"/>
        <v>10887</v>
      </c>
      <c r="I122" t="s">
        <v>244</v>
      </c>
      <c r="J122" t="s">
        <v>246</v>
      </c>
    </row>
    <row r="123" spans="2:10" x14ac:dyDescent="0.3">
      <c r="B123" s="3">
        <v>45310</v>
      </c>
      <c r="C123" s="3" t="str">
        <f t="shared" si="2"/>
        <v>Jan - 2024</v>
      </c>
      <c r="D123" t="s">
        <v>225</v>
      </c>
      <c r="E123" t="s">
        <v>230</v>
      </c>
      <c r="F123">
        <v>4</v>
      </c>
      <c r="G123">
        <v>4519</v>
      </c>
      <c r="H123">
        <f t="shared" si="3"/>
        <v>18076</v>
      </c>
      <c r="I123" t="s">
        <v>238</v>
      </c>
      <c r="J123" t="s">
        <v>248</v>
      </c>
    </row>
    <row r="124" spans="2:10" x14ac:dyDescent="0.3">
      <c r="B124" s="3">
        <v>45566</v>
      </c>
      <c r="C124" s="3" t="str">
        <f t="shared" si="2"/>
        <v>Oct - 2024</v>
      </c>
      <c r="D124" t="s">
        <v>228</v>
      </c>
      <c r="E124" t="s">
        <v>230</v>
      </c>
      <c r="F124">
        <v>5</v>
      </c>
      <c r="G124">
        <v>10921</v>
      </c>
      <c r="H124">
        <f t="shared" si="3"/>
        <v>54605</v>
      </c>
      <c r="I124" t="s">
        <v>241</v>
      </c>
      <c r="J124" t="s">
        <v>247</v>
      </c>
    </row>
    <row r="125" spans="2:10" x14ac:dyDescent="0.3">
      <c r="B125" s="3">
        <v>45312</v>
      </c>
      <c r="C125" s="3" t="str">
        <f t="shared" si="2"/>
        <v>Jan - 2024</v>
      </c>
      <c r="D125" t="s">
        <v>225</v>
      </c>
      <c r="E125" t="s">
        <v>230</v>
      </c>
      <c r="F125">
        <v>6</v>
      </c>
      <c r="G125">
        <v>59243</v>
      </c>
      <c r="H125">
        <f t="shared" si="3"/>
        <v>355458</v>
      </c>
      <c r="I125" t="s">
        <v>239</v>
      </c>
      <c r="J125" t="s">
        <v>248</v>
      </c>
    </row>
    <row r="126" spans="2:10" x14ac:dyDescent="0.3">
      <c r="B126" s="3">
        <v>45614</v>
      </c>
      <c r="C126" s="3" t="str">
        <f t="shared" si="2"/>
        <v>Nov - 2024</v>
      </c>
      <c r="D126" t="s">
        <v>228</v>
      </c>
      <c r="E126" t="s">
        <v>232</v>
      </c>
      <c r="F126">
        <v>2</v>
      </c>
      <c r="G126">
        <v>70674</v>
      </c>
      <c r="H126">
        <f t="shared" si="3"/>
        <v>141348</v>
      </c>
      <c r="I126" t="s">
        <v>239</v>
      </c>
      <c r="J126" t="s">
        <v>246</v>
      </c>
    </row>
    <row r="127" spans="2:10" x14ac:dyDescent="0.3">
      <c r="B127" s="3">
        <v>45363</v>
      </c>
      <c r="C127" s="3" t="str">
        <f t="shared" si="2"/>
        <v>Mar - 2024</v>
      </c>
      <c r="D127" t="s">
        <v>228</v>
      </c>
      <c r="E127" t="s">
        <v>232</v>
      </c>
      <c r="F127">
        <v>2</v>
      </c>
      <c r="G127">
        <v>3629</v>
      </c>
      <c r="H127">
        <f t="shared" si="3"/>
        <v>7258</v>
      </c>
      <c r="I127" t="s">
        <v>237</v>
      </c>
      <c r="J127" t="s">
        <v>248</v>
      </c>
    </row>
    <row r="128" spans="2:10" x14ac:dyDescent="0.3">
      <c r="B128" s="3">
        <v>45408</v>
      </c>
      <c r="C128" s="3" t="str">
        <f t="shared" si="2"/>
        <v>Apr - 2024</v>
      </c>
      <c r="D128" t="s">
        <v>229</v>
      </c>
      <c r="E128" t="s">
        <v>230</v>
      </c>
      <c r="F128">
        <v>6</v>
      </c>
      <c r="G128">
        <v>35128</v>
      </c>
      <c r="H128">
        <f t="shared" si="3"/>
        <v>210768</v>
      </c>
      <c r="I128" t="s">
        <v>237</v>
      </c>
      <c r="J128" t="s">
        <v>248</v>
      </c>
    </row>
    <row r="129" spans="2:10" x14ac:dyDescent="0.3">
      <c r="B129" s="3">
        <v>45493</v>
      </c>
      <c r="C129" s="3" t="str">
        <f t="shared" si="2"/>
        <v>Jul - 2024</v>
      </c>
      <c r="D129" t="s">
        <v>228</v>
      </c>
      <c r="E129" t="s">
        <v>233</v>
      </c>
      <c r="F129">
        <v>6</v>
      </c>
      <c r="G129">
        <v>30968</v>
      </c>
      <c r="H129">
        <f t="shared" si="3"/>
        <v>185808</v>
      </c>
      <c r="I129" t="s">
        <v>239</v>
      </c>
      <c r="J129" t="s">
        <v>248</v>
      </c>
    </row>
    <row r="130" spans="2:10" x14ac:dyDescent="0.3">
      <c r="B130" s="3">
        <v>45310</v>
      </c>
      <c r="C130" s="3" t="str">
        <f t="shared" si="2"/>
        <v>Jan - 2024</v>
      </c>
      <c r="D130" t="s">
        <v>225</v>
      </c>
      <c r="E130" t="s">
        <v>230</v>
      </c>
      <c r="F130">
        <v>6</v>
      </c>
      <c r="G130">
        <v>10921</v>
      </c>
      <c r="H130">
        <f t="shared" si="3"/>
        <v>65526</v>
      </c>
      <c r="I130" t="s">
        <v>236</v>
      </c>
      <c r="J130" t="s">
        <v>247</v>
      </c>
    </row>
    <row r="131" spans="2:10" x14ac:dyDescent="0.3">
      <c r="B131" s="3">
        <v>45531</v>
      </c>
      <c r="C131" s="3" t="str">
        <f t="shared" ref="C131:C151" si="4">TEXT(B131,"mmm - yyyy")</f>
        <v>Aug - 2024</v>
      </c>
      <c r="D131" t="s">
        <v>229</v>
      </c>
      <c r="E131" t="s">
        <v>230</v>
      </c>
      <c r="F131">
        <v>9</v>
      </c>
      <c r="G131">
        <v>10921</v>
      </c>
      <c r="H131">
        <f t="shared" ref="H131:H151" si="5">F131*G131</f>
        <v>98289</v>
      </c>
      <c r="I131" t="s">
        <v>242</v>
      </c>
      <c r="J131" t="s">
        <v>246</v>
      </c>
    </row>
    <row r="132" spans="2:10" x14ac:dyDescent="0.3">
      <c r="B132" s="3">
        <v>45645</v>
      </c>
      <c r="C132" s="3" t="str">
        <f t="shared" si="4"/>
        <v>Dec - 2024</v>
      </c>
      <c r="D132" t="s">
        <v>228</v>
      </c>
      <c r="E132" t="s">
        <v>231</v>
      </c>
      <c r="F132">
        <v>6</v>
      </c>
      <c r="G132">
        <v>34082</v>
      </c>
      <c r="H132">
        <f t="shared" si="5"/>
        <v>204492</v>
      </c>
      <c r="I132" t="s">
        <v>242</v>
      </c>
      <c r="J132" t="s">
        <v>248</v>
      </c>
    </row>
    <row r="133" spans="2:10" x14ac:dyDescent="0.3">
      <c r="B133" s="3">
        <v>45292</v>
      </c>
      <c r="C133" s="3" t="str">
        <f t="shared" si="4"/>
        <v>Jan - 2024</v>
      </c>
      <c r="D133" t="s">
        <v>229</v>
      </c>
      <c r="E133" t="s">
        <v>232</v>
      </c>
      <c r="F133">
        <v>6</v>
      </c>
      <c r="G133">
        <v>16048</v>
      </c>
      <c r="H133">
        <f t="shared" si="5"/>
        <v>96288</v>
      </c>
      <c r="I133" t="s">
        <v>237</v>
      </c>
      <c r="J133" t="s">
        <v>248</v>
      </c>
    </row>
    <row r="134" spans="2:10" x14ac:dyDescent="0.3">
      <c r="B134" s="3">
        <v>45542</v>
      </c>
      <c r="C134" s="3" t="str">
        <f t="shared" si="4"/>
        <v>Sep - 2024</v>
      </c>
      <c r="D134" t="s">
        <v>229</v>
      </c>
      <c r="E134" t="s">
        <v>235</v>
      </c>
      <c r="F134">
        <v>6</v>
      </c>
      <c r="G134">
        <v>26694</v>
      </c>
      <c r="H134">
        <f t="shared" si="5"/>
        <v>160164</v>
      </c>
      <c r="I134" t="s">
        <v>238</v>
      </c>
      <c r="J134" t="s">
        <v>246</v>
      </c>
    </row>
    <row r="135" spans="2:10" x14ac:dyDescent="0.3">
      <c r="B135" s="3">
        <v>45379</v>
      </c>
      <c r="C135" s="3" t="str">
        <f t="shared" si="4"/>
        <v>Mar - 2024</v>
      </c>
      <c r="D135" t="s">
        <v>228</v>
      </c>
      <c r="E135" t="s">
        <v>235</v>
      </c>
      <c r="F135">
        <v>6</v>
      </c>
      <c r="G135">
        <v>26694</v>
      </c>
      <c r="H135">
        <f t="shared" si="5"/>
        <v>160164</v>
      </c>
      <c r="I135" t="s">
        <v>236</v>
      </c>
      <c r="J135" t="s">
        <v>246</v>
      </c>
    </row>
    <row r="136" spans="2:10" x14ac:dyDescent="0.3">
      <c r="B136" s="3">
        <v>45360</v>
      </c>
      <c r="C136" s="3" t="str">
        <f t="shared" si="4"/>
        <v>Mar - 2024</v>
      </c>
      <c r="D136" t="s">
        <v>228</v>
      </c>
      <c r="E136" t="s">
        <v>230</v>
      </c>
      <c r="F136">
        <v>8</v>
      </c>
      <c r="G136">
        <v>49642</v>
      </c>
      <c r="H136">
        <f t="shared" si="5"/>
        <v>397136</v>
      </c>
      <c r="I136" t="s">
        <v>241</v>
      </c>
      <c r="J136" t="s">
        <v>248</v>
      </c>
    </row>
    <row r="137" spans="2:10" x14ac:dyDescent="0.3">
      <c r="B137" s="3">
        <v>45622</v>
      </c>
      <c r="C137" s="3" t="str">
        <f t="shared" si="4"/>
        <v>Nov - 2024</v>
      </c>
      <c r="D137" t="s">
        <v>228</v>
      </c>
      <c r="E137" t="s">
        <v>232</v>
      </c>
      <c r="F137">
        <v>6</v>
      </c>
      <c r="G137">
        <v>3629</v>
      </c>
      <c r="H137">
        <f t="shared" si="5"/>
        <v>21774</v>
      </c>
      <c r="I137" t="s">
        <v>237</v>
      </c>
      <c r="J137" t="s">
        <v>247</v>
      </c>
    </row>
    <row r="138" spans="2:10" x14ac:dyDescent="0.3">
      <c r="B138" s="3">
        <v>45531</v>
      </c>
      <c r="C138" s="3" t="str">
        <f t="shared" si="4"/>
        <v>Aug - 2024</v>
      </c>
      <c r="D138" t="s">
        <v>229</v>
      </c>
      <c r="E138" t="s">
        <v>233</v>
      </c>
      <c r="F138">
        <v>6</v>
      </c>
      <c r="G138">
        <v>30968</v>
      </c>
      <c r="H138">
        <f t="shared" si="5"/>
        <v>185808</v>
      </c>
      <c r="I138" t="s">
        <v>241</v>
      </c>
      <c r="J138" t="s">
        <v>246</v>
      </c>
    </row>
    <row r="139" spans="2:10" x14ac:dyDescent="0.3">
      <c r="B139" s="3">
        <v>45379</v>
      </c>
      <c r="C139" s="3" t="str">
        <f t="shared" si="4"/>
        <v>Mar - 2024</v>
      </c>
      <c r="D139" t="s">
        <v>228</v>
      </c>
      <c r="E139" t="s">
        <v>233</v>
      </c>
      <c r="F139">
        <v>6</v>
      </c>
      <c r="G139">
        <v>48220</v>
      </c>
      <c r="H139">
        <f t="shared" si="5"/>
        <v>289320</v>
      </c>
      <c r="I139" t="s">
        <v>245</v>
      </c>
      <c r="J139" t="s">
        <v>246</v>
      </c>
    </row>
    <row r="140" spans="2:10" x14ac:dyDescent="0.3">
      <c r="B140" s="3">
        <v>45625</v>
      </c>
      <c r="C140" s="3" t="str">
        <f t="shared" si="4"/>
        <v>Nov - 2024</v>
      </c>
      <c r="D140" t="s">
        <v>229</v>
      </c>
      <c r="E140" t="s">
        <v>234</v>
      </c>
      <c r="F140">
        <v>8</v>
      </c>
      <c r="G140">
        <v>37708</v>
      </c>
      <c r="H140">
        <f t="shared" si="5"/>
        <v>301664</v>
      </c>
      <c r="I140" t="s">
        <v>242</v>
      </c>
      <c r="J140" t="s">
        <v>248</v>
      </c>
    </row>
    <row r="141" spans="2:10" x14ac:dyDescent="0.3">
      <c r="B141" s="3">
        <v>45427</v>
      </c>
      <c r="C141" s="3" t="str">
        <f t="shared" si="4"/>
        <v>May - 2024</v>
      </c>
      <c r="D141" t="s">
        <v>229</v>
      </c>
      <c r="E141" t="s">
        <v>235</v>
      </c>
      <c r="F141">
        <v>4</v>
      </c>
      <c r="G141">
        <v>26694</v>
      </c>
      <c r="H141">
        <f t="shared" si="5"/>
        <v>106776</v>
      </c>
      <c r="I141" t="s">
        <v>245</v>
      </c>
      <c r="J141" t="s">
        <v>247</v>
      </c>
    </row>
    <row r="142" spans="2:10" x14ac:dyDescent="0.3">
      <c r="B142" s="3">
        <v>45485</v>
      </c>
      <c r="C142" s="3" t="str">
        <f t="shared" si="4"/>
        <v>Jul - 2024</v>
      </c>
      <c r="D142" t="s">
        <v>228</v>
      </c>
      <c r="E142" t="s">
        <v>233</v>
      </c>
      <c r="F142">
        <v>6</v>
      </c>
      <c r="G142">
        <v>30968</v>
      </c>
      <c r="H142">
        <f t="shared" si="5"/>
        <v>185808</v>
      </c>
      <c r="I142" t="s">
        <v>236</v>
      </c>
      <c r="J142" t="s">
        <v>246</v>
      </c>
    </row>
    <row r="143" spans="2:10" x14ac:dyDescent="0.3">
      <c r="B143" s="3">
        <v>45309</v>
      </c>
      <c r="C143" s="3" t="str">
        <f t="shared" si="4"/>
        <v>Jan - 2024</v>
      </c>
      <c r="D143" t="s">
        <v>229</v>
      </c>
      <c r="E143" t="s">
        <v>234</v>
      </c>
      <c r="F143">
        <v>1</v>
      </c>
      <c r="G143">
        <v>20909</v>
      </c>
      <c r="H143">
        <f t="shared" si="5"/>
        <v>20909</v>
      </c>
      <c r="I143" t="s">
        <v>243</v>
      </c>
      <c r="J143" t="s">
        <v>246</v>
      </c>
    </row>
    <row r="144" spans="2:10" x14ac:dyDescent="0.3">
      <c r="B144" s="3">
        <v>45555</v>
      </c>
      <c r="C144" s="3" t="str">
        <f t="shared" si="4"/>
        <v>Sep - 2024</v>
      </c>
      <c r="D144" t="s">
        <v>226</v>
      </c>
      <c r="E144" t="s">
        <v>230</v>
      </c>
      <c r="F144">
        <v>6</v>
      </c>
      <c r="G144">
        <v>71417</v>
      </c>
      <c r="H144">
        <f t="shared" si="5"/>
        <v>428502</v>
      </c>
      <c r="I144" t="s">
        <v>242</v>
      </c>
      <c r="J144" t="s">
        <v>246</v>
      </c>
    </row>
    <row r="145" spans="1:10" x14ac:dyDescent="0.3">
      <c r="B145" s="3">
        <v>45543</v>
      </c>
      <c r="C145" s="3" t="str">
        <f t="shared" si="4"/>
        <v>Sep - 2024</v>
      </c>
      <c r="D145" t="s">
        <v>229</v>
      </c>
      <c r="E145" t="s">
        <v>230</v>
      </c>
      <c r="F145">
        <v>6</v>
      </c>
      <c r="G145">
        <v>10921</v>
      </c>
      <c r="H145">
        <f t="shared" si="5"/>
        <v>65526</v>
      </c>
      <c r="I145" t="s">
        <v>236</v>
      </c>
      <c r="J145" t="s">
        <v>248</v>
      </c>
    </row>
    <row r="146" spans="1:10" x14ac:dyDescent="0.3">
      <c r="B146" s="3">
        <v>45551</v>
      </c>
      <c r="C146" s="3" t="str">
        <f t="shared" si="4"/>
        <v>Sep - 2024</v>
      </c>
      <c r="D146" t="s">
        <v>229</v>
      </c>
      <c r="E146" t="s">
        <v>233</v>
      </c>
      <c r="F146">
        <v>6</v>
      </c>
      <c r="G146">
        <v>30968</v>
      </c>
      <c r="H146">
        <f t="shared" si="5"/>
        <v>185808</v>
      </c>
      <c r="I146" t="s">
        <v>238</v>
      </c>
      <c r="J146" t="s">
        <v>246</v>
      </c>
    </row>
    <row r="147" spans="1:10" x14ac:dyDescent="0.3">
      <c r="B147" s="3">
        <v>45343</v>
      </c>
      <c r="C147" s="3" t="str">
        <f t="shared" si="4"/>
        <v>Feb - 2024</v>
      </c>
      <c r="D147" t="s">
        <v>228</v>
      </c>
      <c r="E147" t="s">
        <v>233</v>
      </c>
      <c r="F147">
        <v>7</v>
      </c>
      <c r="G147">
        <v>30968</v>
      </c>
      <c r="H147">
        <f t="shared" si="5"/>
        <v>216776</v>
      </c>
      <c r="I147" t="s">
        <v>243</v>
      </c>
      <c r="J147" t="s">
        <v>246</v>
      </c>
    </row>
    <row r="148" spans="1:10" x14ac:dyDescent="0.3">
      <c r="B148" s="3">
        <v>45444</v>
      </c>
      <c r="C148" s="3" t="str">
        <f t="shared" si="4"/>
        <v>Jun - 2024</v>
      </c>
      <c r="D148" t="s">
        <v>228</v>
      </c>
      <c r="E148" t="s">
        <v>233</v>
      </c>
      <c r="F148">
        <v>10</v>
      </c>
      <c r="G148">
        <v>72606</v>
      </c>
      <c r="H148">
        <f t="shared" si="5"/>
        <v>726060</v>
      </c>
      <c r="I148" t="s">
        <v>239</v>
      </c>
      <c r="J148" t="s">
        <v>248</v>
      </c>
    </row>
    <row r="149" spans="1:10" x14ac:dyDescent="0.3">
      <c r="B149" s="3">
        <v>45479</v>
      </c>
      <c r="C149" s="3" t="str">
        <f t="shared" si="4"/>
        <v>Jul - 2024</v>
      </c>
      <c r="D149" t="s">
        <v>225</v>
      </c>
      <c r="E149" t="s">
        <v>234</v>
      </c>
      <c r="F149">
        <v>6</v>
      </c>
      <c r="G149">
        <v>20909</v>
      </c>
      <c r="H149">
        <f t="shared" si="5"/>
        <v>125454</v>
      </c>
      <c r="I149" t="s">
        <v>243</v>
      </c>
      <c r="J149" t="s">
        <v>247</v>
      </c>
    </row>
    <row r="150" spans="1:10" x14ac:dyDescent="0.3">
      <c r="B150" s="3">
        <v>45342</v>
      </c>
      <c r="C150" s="3" t="str">
        <f t="shared" si="4"/>
        <v>Feb - 2024</v>
      </c>
      <c r="D150" t="s">
        <v>229</v>
      </c>
      <c r="E150" t="s">
        <v>234</v>
      </c>
      <c r="F150">
        <v>6</v>
      </c>
      <c r="G150">
        <v>37038</v>
      </c>
      <c r="H150">
        <f t="shared" si="5"/>
        <v>222228</v>
      </c>
      <c r="I150" t="s">
        <v>240</v>
      </c>
      <c r="J150" t="s">
        <v>246</v>
      </c>
    </row>
    <row r="151" spans="1:10" x14ac:dyDescent="0.3">
      <c r="B151" s="3">
        <v>45542</v>
      </c>
      <c r="C151" s="3" t="str">
        <f t="shared" si="4"/>
        <v>Sep - 2024</v>
      </c>
      <c r="D151" t="s">
        <v>226</v>
      </c>
      <c r="E151" t="s">
        <v>234</v>
      </c>
      <c r="F151">
        <v>8</v>
      </c>
      <c r="G151">
        <v>60993</v>
      </c>
      <c r="H151">
        <f t="shared" si="5"/>
        <v>487944</v>
      </c>
      <c r="I151" t="s">
        <v>244</v>
      </c>
      <c r="J151" t="s">
        <v>246</v>
      </c>
    </row>
    <row r="152" spans="1:10" x14ac:dyDescent="0.3">
      <c r="A152" t="s">
        <v>269</v>
      </c>
      <c r="J152">
        <f>SUBTOTAL(103,tbl_OrderData[Status])</f>
        <v>150</v>
      </c>
    </row>
  </sheetData>
  <sortState xmlns:xlrd2="http://schemas.microsoft.com/office/spreadsheetml/2017/richdata2" ref="A2:A151">
    <sortCondition ref="A2:A151"/>
  </sortState>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9C706-8602-4B0E-A15F-D68C2932097D}">
  <dimension ref="A3:J34"/>
  <sheetViews>
    <sheetView showGridLines="0" showRowColHeaders="0" workbookViewId="0">
      <selection activeCell="A13" sqref="A13"/>
    </sheetView>
  </sheetViews>
  <sheetFormatPr defaultRowHeight="14.4" x14ac:dyDescent="0.3"/>
  <cols>
    <col min="1" max="1" width="12.5546875" bestFit="1" customWidth="1"/>
    <col min="2" max="2" width="16" bestFit="1" customWidth="1"/>
    <col min="5" max="5" width="12.5546875" bestFit="1" customWidth="1"/>
    <col min="6" max="6" width="16" bestFit="1" customWidth="1"/>
    <col min="9" max="9" width="12.5546875" bestFit="1" customWidth="1"/>
    <col min="10" max="10" width="16" bestFit="1" customWidth="1"/>
    <col min="12" max="12" width="12.21875" customWidth="1"/>
    <col min="13" max="13" width="15.44140625" customWidth="1"/>
  </cols>
  <sheetData>
    <row r="3" spans="1:10" x14ac:dyDescent="0.3">
      <c r="A3" s="4" t="s">
        <v>252</v>
      </c>
      <c r="B3" t="s">
        <v>254</v>
      </c>
      <c r="E3" s="4" t="s">
        <v>252</v>
      </c>
      <c r="F3" t="s">
        <v>254</v>
      </c>
      <c r="I3" s="4" t="s">
        <v>252</v>
      </c>
      <c r="J3" t="s">
        <v>254</v>
      </c>
    </row>
    <row r="4" spans="1:10" x14ac:dyDescent="0.3">
      <c r="A4" s="5" t="s">
        <v>225</v>
      </c>
      <c r="B4">
        <v>5614097</v>
      </c>
      <c r="E4" s="5" t="s">
        <v>225</v>
      </c>
      <c r="F4">
        <v>5614097</v>
      </c>
      <c r="I4" s="5" t="s">
        <v>257</v>
      </c>
      <c r="J4">
        <v>3013649</v>
      </c>
    </row>
    <row r="5" spans="1:10" x14ac:dyDescent="0.3">
      <c r="A5" s="5" t="s">
        <v>229</v>
      </c>
      <c r="B5">
        <v>11258107</v>
      </c>
      <c r="E5" s="5" t="s">
        <v>229</v>
      </c>
      <c r="F5">
        <v>11258107</v>
      </c>
      <c r="I5" s="5" t="s">
        <v>258</v>
      </c>
      <c r="J5">
        <v>3603650</v>
      </c>
    </row>
    <row r="6" spans="1:10" x14ac:dyDescent="0.3">
      <c r="A6" s="5" t="s">
        <v>228</v>
      </c>
      <c r="B6">
        <v>11755947</v>
      </c>
      <c r="E6" s="5" t="s">
        <v>228</v>
      </c>
      <c r="F6">
        <v>11755947</v>
      </c>
      <c r="I6" s="5" t="s">
        <v>259</v>
      </c>
      <c r="J6">
        <v>3280003</v>
      </c>
    </row>
    <row r="7" spans="1:10" x14ac:dyDescent="0.3">
      <c r="A7" s="5" t="s">
        <v>226</v>
      </c>
      <c r="B7">
        <v>4119590</v>
      </c>
      <c r="E7" s="5" t="s">
        <v>226</v>
      </c>
      <c r="F7">
        <v>4119590</v>
      </c>
      <c r="I7" s="5" t="s">
        <v>260</v>
      </c>
      <c r="J7">
        <v>2436612</v>
      </c>
    </row>
    <row r="8" spans="1:10" x14ac:dyDescent="0.3">
      <c r="A8" s="5" t="s">
        <v>253</v>
      </c>
      <c r="B8">
        <v>32747741</v>
      </c>
      <c r="E8" s="5" t="s">
        <v>253</v>
      </c>
      <c r="F8">
        <v>32747741</v>
      </c>
      <c r="I8" s="5" t="s">
        <v>261</v>
      </c>
      <c r="J8">
        <v>1113802</v>
      </c>
    </row>
    <row r="9" spans="1:10" x14ac:dyDescent="0.3">
      <c r="I9" s="5" t="s">
        <v>262</v>
      </c>
      <c r="J9">
        <v>1864103</v>
      </c>
    </row>
    <row r="10" spans="1:10" x14ac:dyDescent="0.3">
      <c r="I10" s="5" t="s">
        <v>263</v>
      </c>
      <c r="J10">
        <v>2818289</v>
      </c>
    </row>
    <row r="11" spans="1:10" x14ac:dyDescent="0.3">
      <c r="I11" s="5" t="s">
        <v>264</v>
      </c>
      <c r="J11">
        <v>2427645</v>
      </c>
    </row>
    <row r="12" spans="1:10" x14ac:dyDescent="0.3">
      <c r="I12" s="5" t="s">
        <v>265</v>
      </c>
      <c r="J12">
        <v>5378593</v>
      </c>
    </row>
    <row r="13" spans="1:10" x14ac:dyDescent="0.3">
      <c r="A13" s="4" t="s">
        <v>252</v>
      </c>
      <c r="B13" t="s">
        <v>254</v>
      </c>
      <c r="E13" s="4" t="s">
        <v>252</v>
      </c>
      <c r="F13" t="s">
        <v>254</v>
      </c>
      <c r="I13" s="5" t="s">
        <v>266</v>
      </c>
      <c r="J13">
        <v>1804069</v>
      </c>
    </row>
    <row r="14" spans="1:10" x14ac:dyDescent="0.3">
      <c r="A14" s="5" t="s">
        <v>235</v>
      </c>
      <c r="B14">
        <v>4000051</v>
      </c>
      <c r="E14" s="5" t="s">
        <v>233</v>
      </c>
      <c r="F14">
        <v>7064019</v>
      </c>
      <c r="I14" s="5" t="s">
        <v>267</v>
      </c>
      <c r="J14">
        <v>2813464</v>
      </c>
    </row>
    <row r="15" spans="1:10" x14ac:dyDescent="0.3">
      <c r="A15" s="5" t="s">
        <v>234</v>
      </c>
      <c r="B15">
        <v>5605417</v>
      </c>
      <c r="E15" s="5" t="s">
        <v>232</v>
      </c>
      <c r="F15">
        <v>5357834</v>
      </c>
      <c r="I15" s="5" t="s">
        <v>268</v>
      </c>
      <c r="J15">
        <v>2193862</v>
      </c>
    </row>
    <row r="16" spans="1:10" x14ac:dyDescent="0.3">
      <c r="A16" s="5" t="s">
        <v>231</v>
      </c>
      <c r="B16">
        <v>5560643</v>
      </c>
      <c r="E16" s="5" t="s">
        <v>230</v>
      </c>
      <c r="F16">
        <v>5159777</v>
      </c>
      <c r="I16" s="5" t="s">
        <v>253</v>
      </c>
      <c r="J16">
        <v>32747741</v>
      </c>
    </row>
    <row r="17" spans="1:10" x14ac:dyDescent="0.3">
      <c r="A17" s="5" t="s">
        <v>230</v>
      </c>
      <c r="B17">
        <v>5159777</v>
      </c>
      <c r="E17" s="5" t="s">
        <v>231</v>
      </c>
      <c r="F17">
        <v>5560643</v>
      </c>
    </row>
    <row r="18" spans="1:10" x14ac:dyDescent="0.3">
      <c r="A18" s="5" t="s">
        <v>232</v>
      </c>
      <c r="B18">
        <v>5357834</v>
      </c>
      <c r="E18" s="5" t="s">
        <v>234</v>
      </c>
      <c r="F18">
        <v>5605417</v>
      </c>
    </row>
    <row r="19" spans="1:10" x14ac:dyDescent="0.3">
      <c r="A19" s="5" t="s">
        <v>233</v>
      </c>
      <c r="B19">
        <v>7064019</v>
      </c>
      <c r="E19" s="5" t="s">
        <v>235</v>
      </c>
      <c r="F19">
        <v>4000051</v>
      </c>
    </row>
    <row r="20" spans="1:10" x14ac:dyDescent="0.3">
      <c r="A20" s="5" t="s">
        <v>253</v>
      </c>
      <c r="B20">
        <v>32747741</v>
      </c>
      <c r="E20" s="5" t="s">
        <v>253</v>
      </c>
      <c r="F20">
        <v>32747741</v>
      </c>
    </row>
    <row r="21" spans="1:10" x14ac:dyDescent="0.3">
      <c r="I21" s="4" t="s">
        <v>7</v>
      </c>
      <c r="J21" t="s">
        <v>255</v>
      </c>
    </row>
    <row r="23" spans="1:10" x14ac:dyDescent="0.3">
      <c r="I23" s="4" t="s">
        <v>252</v>
      </c>
      <c r="J23" t="s">
        <v>254</v>
      </c>
    </row>
    <row r="24" spans="1:10" x14ac:dyDescent="0.3">
      <c r="I24" s="5" t="s">
        <v>238</v>
      </c>
      <c r="J24">
        <v>3675255</v>
      </c>
    </row>
    <row r="25" spans="1:10" x14ac:dyDescent="0.3">
      <c r="I25" s="5" t="s">
        <v>240</v>
      </c>
      <c r="J25">
        <v>3589800</v>
      </c>
    </row>
    <row r="26" spans="1:10" x14ac:dyDescent="0.3">
      <c r="I26" s="5" t="s">
        <v>239</v>
      </c>
      <c r="J26">
        <v>2910926</v>
      </c>
    </row>
    <row r="27" spans="1:10" x14ac:dyDescent="0.3">
      <c r="I27" s="5" t="s">
        <v>236</v>
      </c>
      <c r="J27">
        <v>3100045</v>
      </c>
    </row>
    <row r="28" spans="1:10" x14ac:dyDescent="0.3">
      <c r="I28" s="5" t="s">
        <v>237</v>
      </c>
      <c r="J28">
        <v>2754427</v>
      </c>
    </row>
    <row r="29" spans="1:10" x14ac:dyDescent="0.3">
      <c r="I29" s="5" t="s">
        <v>243</v>
      </c>
      <c r="J29">
        <v>1708226</v>
      </c>
    </row>
    <row r="30" spans="1:10" x14ac:dyDescent="0.3">
      <c r="I30" s="5" t="s">
        <v>242</v>
      </c>
      <c r="J30">
        <v>4259189</v>
      </c>
    </row>
    <row r="31" spans="1:10" x14ac:dyDescent="0.3">
      <c r="I31" s="5" t="s">
        <v>244</v>
      </c>
      <c r="J31">
        <v>4466348</v>
      </c>
    </row>
    <row r="32" spans="1:10" x14ac:dyDescent="0.3">
      <c r="I32" s="5" t="s">
        <v>245</v>
      </c>
      <c r="J32">
        <v>3378569</v>
      </c>
    </row>
    <row r="33" spans="9:10" x14ac:dyDescent="0.3">
      <c r="I33" s="5" t="s">
        <v>241</v>
      </c>
      <c r="J33">
        <v>2904956</v>
      </c>
    </row>
    <row r="34" spans="9:10" x14ac:dyDescent="0.3">
      <c r="I34" s="5" t="s">
        <v>253</v>
      </c>
      <c r="J34">
        <v>32747741</v>
      </c>
    </row>
  </sheetData>
  <conditionalFormatting pivot="1" sqref="F4:F7">
    <cfRule type="cellIs" dxfId="3" priority="7" operator="greaterThan">
      <formula>7937768.5</formula>
    </cfRule>
  </conditionalFormatting>
  <conditionalFormatting pivot="1" sqref="F14:F19">
    <cfRule type="top10" dxfId="2" priority="5" rank="3"/>
  </conditionalFormatting>
  <conditionalFormatting pivot="1" sqref="J4 J5 J6 J7 J8 J9 J10 J11 J12 J13 J14 J15">
    <cfRule type="top10" dxfId="1" priority="4" rank="1"/>
  </conditionalFormatting>
  <conditionalFormatting pivot="1" sqref="J24:J33">
    <cfRule type="top10" dxfId="0" priority="1" rank="2"/>
  </conditionalFormatting>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C99C-081A-4416-BF5D-7060EDEFA184}">
  <dimension ref="A1:X70"/>
  <sheetViews>
    <sheetView showGridLines="0" tabSelected="1" workbookViewId="0">
      <selection activeCell="H8" sqref="H8"/>
    </sheetView>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7"/>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row r="32" spans="1:24" x14ac:dyDescent="0.3">
      <c r="A32" s="7"/>
      <c r="B32" s="7"/>
      <c r="C32" s="7"/>
      <c r="D32" s="7"/>
      <c r="E32" s="7"/>
      <c r="F32" s="7"/>
      <c r="G32" s="7"/>
      <c r="H32" s="7"/>
      <c r="I32" s="7"/>
      <c r="J32" s="7"/>
      <c r="K32" s="7"/>
      <c r="L32" s="7"/>
      <c r="M32" s="7"/>
      <c r="N32" s="7"/>
      <c r="O32" s="7"/>
      <c r="P32" s="7"/>
      <c r="Q32" s="7"/>
      <c r="R32" s="7"/>
      <c r="S32" s="7"/>
      <c r="T32" s="7"/>
      <c r="U32" s="7"/>
      <c r="V32" s="7"/>
      <c r="W32" s="7"/>
      <c r="X32" s="7"/>
    </row>
    <row r="33" spans="1:24" x14ac:dyDescent="0.3">
      <c r="A33" s="7"/>
      <c r="B33" s="7"/>
      <c r="C33" s="7"/>
      <c r="D33" s="7"/>
      <c r="E33" s="7"/>
      <c r="F33" s="7"/>
      <c r="G33" s="7"/>
      <c r="H33" s="7"/>
      <c r="I33" s="7"/>
      <c r="J33" s="7"/>
      <c r="K33" s="7"/>
      <c r="L33" s="7"/>
      <c r="M33" s="7"/>
      <c r="N33" s="7"/>
      <c r="O33" s="7"/>
      <c r="P33" s="7"/>
      <c r="Q33" s="7"/>
      <c r="R33" s="7"/>
      <c r="S33" s="7"/>
      <c r="T33" s="7"/>
      <c r="U33" s="7"/>
      <c r="V33" s="7"/>
      <c r="W33" s="7"/>
      <c r="X33" s="7"/>
    </row>
    <row r="34" spans="1:24" x14ac:dyDescent="0.3">
      <c r="A34" s="7"/>
      <c r="B34" s="7"/>
      <c r="C34" s="7"/>
      <c r="D34" s="7"/>
      <c r="E34" s="7"/>
      <c r="F34" s="7"/>
      <c r="G34" s="7"/>
      <c r="H34" s="7"/>
      <c r="I34" s="7"/>
      <c r="J34" s="7"/>
      <c r="K34" s="7"/>
      <c r="L34" s="7"/>
      <c r="M34" s="7"/>
      <c r="N34" s="7"/>
      <c r="O34" s="7"/>
      <c r="P34" s="7"/>
      <c r="Q34" s="7"/>
      <c r="R34" s="7"/>
      <c r="S34" s="7"/>
      <c r="T34" s="7"/>
      <c r="U34" s="7"/>
      <c r="V34" s="7"/>
      <c r="W34" s="7"/>
      <c r="X34" s="7"/>
    </row>
    <row r="35" spans="1:24" x14ac:dyDescent="0.3">
      <c r="A35" s="7"/>
      <c r="B35" s="7"/>
      <c r="C35" s="7"/>
      <c r="D35" s="7"/>
      <c r="E35" s="7"/>
      <c r="F35" s="7"/>
      <c r="G35" s="7"/>
      <c r="H35" s="7"/>
      <c r="I35" s="7"/>
      <c r="J35" s="7"/>
      <c r="K35" s="7"/>
      <c r="L35" s="7"/>
      <c r="M35" s="7"/>
      <c r="N35" s="7"/>
      <c r="O35" s="7"/>
      <c r="P35" s="7"/>
      <c r="Q35" s="7"/>
      <c r="R35" s="7"/>
      <c r="S35" s="7"/>
      <c r="T35" s="7"/>
      <c r="U35" s="7"/>
      <c r="V35" s="7"/>
      <c r="W35" s="7"/>
      <c r="X35" s="7"/>
    </row>
    <row r="36" spans="1:24" x14ac:dyDescent="0.3">
      <c r="A36" s="7"/>
      <c r="B36" s="7"/>
      <c r="C36" s="7"/>
      <c r="D36" s="7"/>
      <c r="E36" s="7"/>
      <c r="F36" s="7"/>
      <c r="G36" s="7"/>
      <c r="H36" s="7"/>
      <c r="I36" s="7"/>
      <c r="J36" s="7"/>
      <c r="K36" s="7"/>
      <c r="L36" s="7"/>
      <c r="M36" s="7"/>
      <c r="N36" s="7"/>
      <c r="O36" s="7"/>
      <c r="P36" s="7"/>
      <c r="Q36" s="7"/>
      <c r="R36" s="7"/>
      <c r="S36" s="7"/>
      <c r="T36" s="7"/>
      <c r="U36" s="7"/>
      <c r="V36" s="7"/>
      <c r="W36" s="7"/>
      <c r="X36" s="7"/>
    </row>
    <row r="37" spans="1:24" x14ac:dyDescent="0.3">
      <c r="A37" s="7"/>
      <c r="B37" s="7"/>
      <c r="C37" s="7"/>
      <c r="D37" s="7"/>
      <c r="E37" s="7"/>
      <c r="F37" s="7"/>
      <c r="G37" s="7"/>
      <c r="H37" s="7"/>
      <c r="I37" s="7"/>
      <c r="J37" s="7"/>
      <c r="K37" s="7"/>
      <c r="L37" s="7"/>
      <c r="M37" s="7"/>
      <c r="N37" s="7"/>
      <c r="O37" s="7"/>
      <c r="P37" s="7"/>
      <c r="Q37" s="7"/>
      <c r="R37" s="7"/>
      <c r="S37" s="7"/>
      <c r="T37" s="7"/>
      <c r="U37" s="7"/>
      <c r="V37" s="7"/>
      <c r="W37" s="7"/>
      <c r="X37" s="7"/>
    </row>
    <row r="38" spans="1:24" x14ac:dyDescent="0.3">
      <c r="A38" s="7"/>
      <c r="B38" s="7"/>
      <c r="C38" s="7"/>
      <c r="D38" s="7"/>
      <c r="E38" s="7"/>
      <c r="F38" s="7"/>
      <c r="G38" s="7"/>
      <c r="H38" s="7"/>
      <c r="I38" s="7"/>
      <c r="J38" s="7"/>
      <c r="K38" s="7"/>
      <c r="L38" s="7"/>
      <c r="M38" s="7"/>
      <c r="N38" s="7"/>
      <c r="O38" s="7"/>
      <c r="P38" s="7"/>
      <c r="Q38" s="7"/>
      <c r="R38" s="7"/>
      <c r="S38" s="7"/>
      <c r="T38" s="7"/>
      <c r="U38" s="7"/>
      <c r="V38" s="7"/>
      <c r="W38" s="7"/>
      <c r="X38" s="7"/>
    </row>
    <row r="39" spans="1:24" x14ac:dyDescent="0.3">
      <c r="A39" s="7"/>
      <c r="B39" s="7"/>
      <c r="C39" s="7"/>
      <c r="D39" s="7"/>
      <c r="E39" s="7"/>
      <c r="F39" s="7"/>
      <c r="G39" s="7"/>
      <c r="H39" s="7"/>
      <c r="I39" s="7"/>
      <c r="J39" s="7"/>
      <c r="K39" s="7"/>
      <c r="L39" s="7"/>
      <c r="M39" s="7"/>
      <c r="N39" s="7"/>
      <c r="O39" s="7"/>
      <c r="P39" s="7"/>
      <c r="Q39" s="7"/>
      <c r="R39" s="7"/>
      <c r="S39" s="7"/>
      <c r="T39" s="7"/>
      <c r="U39" s="7"/>
      <c r="V39" s="7"/>
      <c r="W39" s="7"/>
      <c r="X39" s="7"/>
    </row>
    <row r="40" spans="1:24" x14ac:dyDescent="0.3">
      <c r="A40" s="7"/>
      <c r="B40" s="7"/>
      <c r="C40" s="7"/>
      <c r="D40" s="7"/>
      <c r="E40" s="7"/>
      <c r="F40" s="7"/>
      <c r="G40" s="7"/>
      <c r="H40" s="7"/>
      <c r="I40" s="7"/>
      <c r="J40" s="7"/>
      <c r="K40" s="7"/>
      <c r="L40" s="7"/>
      <c r="M40" s="7"/>
      <c r="N40" s="7"/>
      <c r="O40" s="7"/>
      <c r="P40" s="7"/>
      <c r="Q40" s="7"/>
      <c r="R40" s="7"/>
      <c r="S40" s="7"/>
      <c r="T40" s="7"/>
      <c r="U40" s="7"/>
      <c r="V40" s="7"/>
      <c r="W40" s="7"/>
      <c r="X40" s="7"/>
    </row>
    <row r="41" spans="1:24" x14ac:dyDescent="0.3">
      <c r="A41" s="7"/>
      <c r="B41" s="7"/>
      <c r="C41" s="7"/>
      <c r="D41" s="7"/>
      <c r="E41" s="7"/>
      <c r="F41" s="7"/>
      <c r="G41" s="7"/>
      <c r="H41" s="7"/>
      <c r="I41" s="7"/>
      <c r="J41" s="7"/>
      <c r="K41" s="7"/>
      <c r="L41" s="7"/>
      <c r="M41" s="7"/>
      <c r="N41" s="7"/>
      <c r="O41" s="7"/>
      <c r="P41" s="7"/>
      <c r="Q41" s="7"/>
      <c r="R41" s="7"/>
      <c r="S41" s="7"/>
      <c r="T41" s="7"/>
      <c r="U41" s="7"/>
      <c r="V41" s="7"/>
      <c r="W41" s="7"/>
      <c r="X41" s="7"/>
    </row>
    <row r="42" spans="1:24" x14ac:dyDescent="0.3">
      <c r="A42" s="7"/>
      <c r="B42" s="7"/>
      <c r="C42" s="7"/>
      <c r="D42" s="7"/>
      <c r="E42" s="7"/>
      <c r="F42" s="7"/>
      <c r="G42" s="7"/>
      <c r="H42" s="7"/>
      <c r="I42" s="7"/>
      <c r="J42" s="7"/>
      <c r="K42" s="7"/>
      <c r="L42" s="7"/>
      <c r="M42" s="7"/>
      <c r="N42" s="7"/>
      <c r="O42" s="7"/>
      <c r="P42" s="7"/>
      <c r="Q42" s="7"/>
      <c r="R42" s="7"/>
      <c r="S42" s="7"/>
      <c r="T42" s="7"/>
      <c r="U42" s="7"/>
      <c r="V42" s="7"/>
      <c r="W42" s="7"/>
      <c r="X42" s="7"/>
    </row>
    <row r="43" spans="1:24" x14ac:dyDescent="0.3">
      <c r="A43" s="7"/>
      <c r="B43" s="7"/>
      <c r="C43" s="7"/>
      <c r="D43" s="7"/>
      <c r="E43" s="7"/>
      <c r="F43" s="7"/>
      <c r="G43" s="7"/>
      <c r="H43" s="7"/>
      <c r="I43" s="7"/>
      <c r="J43" s="7"/>
      <c r="K43" s="7"/>
      <c r="L43" s="7"/>
      <c r="M43" s="7"/>
      <c r="N43" s="7"/>
      <c r="O43" s="7"/>
      <c r="P43" s="7"/>
      <c r="Q43" s="7"/>
      <c r="R43" s="7"/>
      <c r="S43" s="7"/>
      <c r="T43" s="7"/>
      <c r="U43" s="7"/>
      <c r="V43" s="7"/>
      <c r="W43" s="7"/>
      <c r="X43" s="7"/>
    </row>
    <row r="44" spans="1:24" x14ac:dyDescent="0.3">
      <c r="A44" s="7"/>
      <c r="B44" s="7"/>
      <c r="C44" s="7"/>
      <c r="D44" s="7"/>
      <c r="E44" s="7"/>
      <c r="F44" s="7"/>
      <c r="G44" s="7"/>
      <c r="H44" s="7"/>
      <c r="I44" s="7"/>
      <c r="J44" s="7"/>
      <c r="K44" s="7"/>
      <c r="L44" s="7"/>
      <c r="M44" s="7"/>
      <c r="N44" s="7"/>
      <c r="O44" s="7"/>
      <c r="P44" s="7"/>
      <c r="Q44" s="7"/>
      <c r="R44" s="7"/>
      <c r="S44" s="7"/>
      <c r="T44" s="7"/>
      <c r="U44" s="7"/>
      <c r="V44" s="7"/>
      <c r="W44" s="7"/>
      <c r="X44" s="7"/>
    </row>
    <row r="45" spans="1:24" x14ac:dyDescent="0.3">
      <c r="A45" s="7"/>
      <c r="B45" s="7"/>
      <c r="C45" s="7"/>
      <c r="D45" s="7"/>
      <c r="E45" s="7"/>
      <c r="F45" s="7"/>
      <c r="G45" s="7"/>
      <c r="H45" s="7"/>
      <c r="I45" s="7"/>
      <c r="J45" s="7"/>
      <c r="K45" s="7"/>
      <c r="L45" s="7"/>
      <c r="M45" s="7"/>
      <c r="N45" s="7"/>
      <c r="O45" s="7"/>
      <c r="P45" s="7"/>
      <c r="Q45" s="7"/>
      <c r="R45" s="7"/>
      <c r="S45" s="7"/>
      <c r="T45" s="7"/>
      <c r="U45" s="7"/>
      <c r="V45" s="7"/>
      <c r="W45" s="7"/>
      <c r="X45" s="7"/>
    </row>
    <row r="46" spans="1:24" x14ac:dyDescent="0.3">
      <c r="A46" s="7"/>
      <c r="B46" s="7"/>
      <c r="C46" s="7"/>
      <c r="D46" s="7"/>
      <c r="E46" s="7"/>
      <c r="F46" s="7"/>
      <c r="G46" s="7"/>
      <c r="H46" s="7"/>
      <c r="I46" s="7"/>
      <c r="J46" s="7"/>
      <c r="K46" s="7"/>
      <c r="L46" s="7"/>
      <c r="M46" s="7"/>
      <c r="N46" s="7"/>
      <c r="O46" s="7"/>
      <c r="P46" s="7"/>
      <c r="Q46" s="7"/>
      <c r="R46" s="7"/>
      <c r="S46" s="7"/>
      <c r="T46" s="7"/>
      <c r="U46" s="7"/>
      <c r="V46" s="7"/>
      <c r="W46" s="7"/>
      <c r="X46" s="7"/>
    </row>
    <row r="47" spans="1:24" x14ac:dyDescent="0.3">
      <c r="A47" s="7"/>
      <c r="B47" s="7"/>
      <c r="C47" s="7"/>
      <c r="D47" s="7"/>
      <c r="E47" s="7"/>
      <c r="F47" s="7"/>
      <c r="G47" s="7"/>
      <c r="H47" s="7"/>
      <c r="I47" s="7"/>
      <c r="J47" s="7"/>
      <c r="K47" s="7"/>
      <c r="L47" s="7"/>
      <c r="M47" s="7"/>
      <c r="N47" s="7"/>
      <c r="O47" s="7"/>
      <c r="P47" s="7"/>
      <c r="Q47" s="7"/>
      <c r="R47" s="7"/>
      <c r="S47" s="7"/>
      <c r="T47" s="7"/>
      <c r="U47" s="7"/>
      <c r="V47" s="7"/>
      <c r="W47" s="7"/>
      <c r="X47" s="7"/>
    </row>
    <row r="48" spans="1:24" x14ac:dyDescent="0.3">
      <c r="A48" s="7"/>
      <c r="B48" s="7"/>
      <c r="C48" s="7"/>
      <c r="D48" s="7"/>
      <c r="E48" s="7"/>
      <c r="F48" s="7"/>
      <c r="G48" s="7"/>
      <c r="H48" s="7"/>
      <c r="I48" s="7"/>
      <c r="J48" s="7"/>
      <c r="K48" s="7"/>
      <c r="L48" s="7"/>
      <c r="M48" s="7"/>
      <c r="N48" s="7"/>
      <c r="O48" s="7"/>
      <c r="P48" s="7"/>
      <c r="Q48" s="7"/>
      <c r="R48" s="7"/>
      <c r="S48" s="7"/>
      <c r="T48" s="7"/>
      <c r="U48" s="7"/>
      <c r="V48" s="7"/>
      <c r="W48" s="7"/>
      <c r="X48" s="7"/>
    </row>
    <row r="49" spans="1:24" x14ac:dyDescent="0.3">
      <c r="A49" s="7"/>
      <c r="B49" s="7"/>
      <c r="C49" s="7"/>
      <c r="D49" s="7"/>
      <c r="E49" s="7"/>
      <c r="F49" s="7"/>
      <c r="G49" s="7"/>
      <c r="H49" s="7"/>
      <c r="I49" s="7"/>
      <c r="J49" s="7"/>
      <c r="K49" s="7"/>
      <c r="L49" s="7"/>
      <c r="M49" s="7"/>
      <c r="N49" s="7"/>
      <c r="O49" s="7"/>
      <c r="P49" s="7"/>
      <c r="Q49" s="7"/>
      <c r="R49" s="7"/>
      <c r="S49" s="7"/>
      <c r="T49" s="7"/>
      <c r="U49" s="7"/>
      <c r="V49" s="7"/>
      <c r="W49" s="7"/>
      <c r="X49" s="7"/>
    </row>
    <row r="50" spans="1:24" x14ac:dyDescent="0.3">
      <c r="A50" s="7"/>
      <c r="B50" s="7"/>
      <c r="C50" s="7"/>
      <c r="D50" s="7"/>
      <c r="E50" s="7"/>
      <c r="F50" s="7"/>
      <c r="G50" s="7"/>
      <c r="H50" s="7"/>
      <c r="I50" s="7"/>
      <c r="J50" s="7"/>
      <c r="K50" s="7"/>
      <c r="L50" s="7"/>
      <c r="M50" s="7"/>
      <c r="N50" s="7"/>
      <c r="O50" s="7"/>
      <c r="P50" s="7"/>
      <c r="Q50" s="7"/>
      <c r="R50" s="7"/>
      <c r="S50" s="7"/>
      <c r="T50" s="7"/>
      <c r="U50" s="7"/>
      <c r="V50" s="7"/>
      <c r="W50" s="7"/>
      <c r="X50" s="7"/>
    </row>
    <row r="51" spans="1:24" x14ac:dyDescent="0.3">
      <c r="A51" s="7"/>
      <c r="B51" s="7"/>
      <c r="C51" s="7"/>
      <c r="D51" s="7"/>
      <c r="E51" s="7"/>
      <c r="F51" s="7"/>
      <c r="G51" s="7"/>
      <c r="H51" s="7"/>
      <c r="I51" s="7"/>
      <c r="J51" s="7"/>
      <c r="K51" s="7"/>
      <c r="L51" s="7"/>
      <c r="M51" s="7"/>
      <c r="N51" s="7"/>
      <c r="O51" s="7"/>
      <c r="P51" s="7"/>
      <c r="Q51" s="7"/>
      <c r="R51" s="7"/>
      <c r="S51" s="7"/>
      <c r="T51" s="7"/>
      <c r="U51" s="7"/>
      <c r="V51" s="7"/>
      <c r="W51" s="7"/>
      <c r="X51" s="7"/>
    </row>
    <row r="52" spans="1:24" x14ac:dyDescent="0.3">
      <c r="A52" s="7"/>
      <c r="B52" s="7"/>
      <c r="C52" s="7"/>
      <c r="D52" s="7"/>
      <c r="E52" s="7"/>
      <c r="F52" s="7"/>
      <c r="G52" s="7"/>
      <c r="H52" s="7"/>
      <c r="I52" s="7"/>
      <c r="J52" s="7"/>
      <c r="K52" s="7"/>
      <c r="L52" s="7"/>
      <c r="M52" s="7"/>
      <c r="N52" s="7"/>
      <c r="O52" s="7"/>
      <c r="P52" s="7"/>
      <c r="Q52" s="7"/>
      <c r="R52" s="7"/>
      <c r="S52" s="7"/>
      <c r="T52" s="7"/>
      <c r="U52" s="7"/>
      <c r="V52" s="7"/>
      <c r="W52" s="7"/>
      <c r="X52" s="7"/>
    </row>
    <row r="53" spans="1:24" x14ac:dyDescent="0.3">
      <c r="A53" s="7"/>
      <c r="B53" s="7"/>
      <c r="C53" s="7"/>
      <c r="D53" s="7"/>
      <c r="E53" s="7"/>
      <c r="F53" s="7"/>
      <c r="G53" s="7"/>
      <c r="H53" s="7"/>
      <c r="I53" s="7"/>
      <c r="J53" s="7"/>
      <c r="K53" s="7"/>
      <c r="L53" s="7"/>
      <c r="M53" s="7"/>
      <c r="N53" s="7"/>
      <c r="O53" s="7"/>
      <c r="P53" s="7"/>
      <c r="Q53" s="7"/>
      <c r="R53" s="7"/>
      <c r="S53" s="7"/>
      <c r="T53" s="7"/>
      <c r="U53" s="7"/>
      <c r="V53" s="7"/>
      <c r="W53" s="7"/>
      <c r="X53" s="7"/>
    </row>
    <row r="54" spans="1:24" x14ac:dyDescent="0.3">
      <c r="A54" s="7"/>
      <c r="B54" s="7"/>
      <c r="C54" s="7"/>
      <c r="D54" s="7"/>
      <c r="E54" s="7"/>
      <c r="F54" s="7"/>
      <c r="G54" s="7"/>
      <c r="H54" s="7"/>
      <c r="I54" s="7"/>
      <c r="J54" s="7"/>
      <c r="K54" s="7"/>
      <c r="L54" s="7"/>
      <c r="M54" s="7"/>
      <c r="N54" s="7"/>
      <c r="O54" s="7"/>
      <c r="P54" s="7"/>
      <c r="Q54" s="7"/>
      <c r="R54" s="7"/>
      <c r="S54" s="7"/>
      <c r="T54" s="7"/>
      <c r="U54" s="7"/>
      <c r="V54" s="7"/>
      <c r="W54" s="7"/>
      <c r="X54" s="7"/>
    </row>
    <row r="55" spans="1:24" x14ac:dyDescent="0.3">
      <c r="A55" s="7"/>
      <c r="B55" s="7"/>
      <c r="C55" s="7"/>
      <c r="D55" s="7"/>
      <c r="E55" s="7"/>
      <c r="F55" s="7"/>
      <c r="G55" s="7"/>
      <c r="H55" s="7"/>
      <c r="I55" s="7"/>
      <c r="J55" s="7"/>
      <c r="K55" s="7"/>
      <c r="L55" s="7"/>
      <c r="M55" s="7"/>
      <c r="N55" s="7"/>
      <c r="O55" s="7"/>
      <c r="P55" s="7"/>
      <c r="Q55" s="7"/>
      <c r="R55" s="7"/>
      <c r="S55" s="7"/>
      <c r="T55" s="7"/>
      <c r="U55" s="7"/>
      <c r="V55" s="7"/>
      <c r="W55" s="7"/>
      <c r="X55" s="7"/>
    </row>
    <row r="56" spans="1:24" x14ac:dyDescent="0.3">
      <c r="A56" s="7"/>
      <c r="B56" s="7"/>
      <c r="C56" s="7"/>
      <c r="D56" s="7"/>
      <c r="E56" s="7"/>
      <c r="F56" s="7"/>
      <c r="G56" s="7"/>
      <c r="H56" s="7"/>
      <c r="I56" s="7"/>
      <c r="J56" s="7"/>
      <c r="K56" s="7"/>
      <c r="L56" s="7"/>
      <c r="M56" s="7"/>
      <c r="N56" s="7"/>
      <c r="O56" s="7"/>
      <c r="P56" s="7"/>
      <c r="Q56" s="7"/>
      <c r="R56" s="7"/>
      <c r="S56" s="7"/>
      <c r="T56" s="7"/>
      <c r="U56" s="7"/>
      <c r="V56" s="7"/>
      <c r="W56" s="7"/>
      <c r="X56" s="7"/>
    </row>
    <row r="57" spans="1:24" x14ac:dyDescent="0.3">
      <c r="A57" s="7"/>
      <c r="B57" s="7"/>
      <c r="C57" s="7"/>
      <c r="D57" s="7"/>
      <c r="E57" s="7"/>
      <c r="F57" s="7"/>
      <c r="G57" s="7"/>
      <c r="H57" s="7"/>
      <c r="I57" s="7"/>
      <c r="J57" s="7"/>
      <c r="K57" s="7"/>
      <c r="L57" s="7"/>
      <c r="M57" s="7"/>
      <c r="N57" s="7"/>
      <c r="O57" s="7"/>
      <c r="P57" s="7"/>
      <c r="Q57" s="7"/>
      <c r="R57" s="7"/>
      <c r="S57" s="7"/>
      <c r="T57" s="7"/>
      <c r="U57" s="7"/>
      <c r="V57" s="7"/>
      <c r="W57" s="7"/>
      <c r="X57" s="7"/>
    </row>
    <row r="58" spans="1:24" x14ac:dyDescent="0.3">
      <c r="A58" s="7"/>
      <c r="B58" s="7"/>
      <c r="C58" s="7"/>
      <c r="D58" s="7"/>
      <c r="E58" s="7"/>
      <c r="F58" s="7"/>
      <c r="G58" s="7"/>
      <c r="H58" s="7"/>
      <c r="I58" s="7"/>
      <c r="J58" s="7"/>
      <c r="K58" s="7"/>
      <c r="L58" s="7"/>
      <c r="M58" s="7"/>
      <c r="N58" s="7"/>
      <c r="O58" s="7"/>
      <c r="P58" s="7"/>
      <c r="Q58" s="7"/>
      <c r="R58" s="7"/>
      <c r="S58" s="7"/>
      <c r="T58" s="7"/>
      <c r="U58" s="7"/>
      <c r="V58" s="7"/>
      <c r="W58" s="7"/>
      <c r="X58" s="7"/>
    </row>
    <row r="59" spans="1:24" x14ac:dyDescent="0.3">
      <c r="A59" s="7"/>
      <c r="B59" s="7"/>
      <c r="C59" s="7"/>
      <c r="D59" s="7"/>
      <c r="E59" s="7"/>
      <c r="F59" s="7"/>
      <c r="G59" s="7"/>
      <c r="H59" s="7"/>
      <c r="I59" s="7"/>
      <c r="J59" s="7"/>
      <c r="K59" s="7"/>
      <c r="L59" s="7"/>
      <c r="M59" s="7"/>
      <c r="N59" s="7"/>
      <c r="O59" s="7"/>
      <c r="P59" s="7"/>
      <c r="Q59" s="7"/>
      <c r="R59" s="7"/>
      <c r="S59" s="7"/>
      <c r="T59" s="7"/>
      <c r="U59" s="7"/>
      <c r="V59" s="7"/>
      <c r="W59" s="7"/>
      <c r="X59" s="7"/>
    </row>
    <row r="60" spans="1:24" x14ac:dyDescent="0.3">
      <c r="A60" s="7"/>
      <c r="B60" s="7"/>
      <c r="C60" s="7"/>
      <c r="D60" s="7"/>
      <c r="E60" s="7"/>
      <c r="F60" s="7"/>
      <c r="G60" s="7"/>
      <c r="H60" s="7"/>
      <c r="I60" s="7"/>
      <c r="J60" s="7"/>
      <c r="K60" s="7"/>
      <c r="L60" s="7"/>
      <c r="M60" s="7"/>
      <c r="N60" s="7"/>
      <c r="O60" s="7"/>
      <c r="P60" s="7"/>
      <c r="Q60" s="7"/>
      <c r="R60" s="7"/>
      <c r="S60" s="7"/>
      <c r="T60" s="7"/>
      <c r="U60" s="7"/>
      <c r="V60" s="7"/>
      <c r="W60" s="7"/>
      <c r="X60" s="7"/>
    </row>
    <row r="61" spans="1:24" x14ac:dyDescent="0.3">
      <c r="A61" s="7"/>
      <c r="B61" s="7"/>
      <c r="C61" s="7"/>
      <c r="D61" s="7"/>
      <c r="E61" s="7"/>
      <c r="F61" s="7"/>
      <c r="G61" s="7"/>
      <c r="H61" s="7"/>
      <c r="I61" s="7"/>
      <c r="J61" s="7"/>
      <c r="K61" s="7"/>
      <c r="L61" s="7"/>
      <c r="M61" s="7"/>
      <c r="N61" s="7"/>
      <c r="O61" s="7"/>
      <c r="P61" s="7"/>
      <c r="Q61" s="7"/>
      <c r="R61" s="7"/>
      <c r="S61" s="7"/>
      <c r="T61" s="7"/>
      <c r="U61" s="7"/>
      <c r="V61" s="7"/>
      <c r="W61" s="7"/>
      <c r="X61" s="7"/>
    </row>
    <row r="62" spans="1:24" x14ac:dyDescent="0.3">
      <c r="A62" s="7"/>
      <c r="B62" s="7"/>
      <c r="C62" s="7"/>
      <c r="D62" s="7"/>
      <c r="E62" s="7"/>
      <c r="F62" s="7"/>
      <c r="G62" s="7"/>
      <c r="H62" s="7"/>
      <c r="I62" s="7"/>
      <c r="J62" s="7"/>
      <c r="K62" s="7"/>
      <c r="L62" s="7"/>
      <c r="M62" s="7"/>
      <c r="N62" s="7"/>
      <c r="O62" s="7"/>
      <c r="P62" s="7"/>
      <c r="Q62" s="7"/>
      <c r="R62" s="7"/>
      <c r="S62" s="7"/>
      <c r="T62" s="7"/>
      <c r="U62" s="7"/>
      <c r="V62" s="7"/>
      <c r="W62" s="7"/>
      <c r="X62" s="7"/>
    </row>
    <row r="63" spans="1:24" x14ac:dyDescent="0.3">
      <c r="A63" s="7"/>
      <c r="B63" s="7"/>
      <c r="C63" s="7"/>
      <c r="D63" s="7"/>
      <c r="E63" s="7"/>
      <c r="F63" s="7"/>
      <c r="G63" s="7"/>
      <c r="H63" s="7"/>
      <c r="I63" s="7"/>
      <c r="J63" s="7"/>
      <c r="K63" s="7"/>
      <c r="L63" s="7"/>
      <c r="M63" s="7"/>
      <c r="N63" s="7"/>
      <c r="O63" s="7"/>
      <c r="P63" s="7"/>
      <c r="Q63" s="7"/>
      <c r="R63" s="7"/>
      <c r="S63" s="7"/>
      <c r="T63" s="7"/>
      <c r="U63" s="7"/>
      <c r="V63" s="7"/>
      <c r="W63" s="7"/>
      <c r="X63" s="7"/>
    </row>
    <row r="64" spans="1:24" x14ac:dyDescent="0.3">
      <c r="A64" s="7"/>
      <c r="B64" s="7"/>
      <c r="C64" s="7"/>
      <c r="D64" s="7"/>
      <c r="E64" s="7"/>
      <c r="F64" s="7"/>
      <c r="G64" s="7"/>
      <c r="H64" s="7"/>
      <c r="I64" s="7"/>
      <c r="J64" s="7"/>
      <c r="K64" s="7"/>
      <c r="L64" s="7"/>
      <c r="M64" s="7"/>
      <c r="N64" s="7"/>
      <c r="O64" s="7"/>
      <c r="P64" s="7"/>
      <c r="Q64" s="7"/>
      <c r="R64" s="7"/>
      <c r="S64" s="7"/>
      <c r="T64" s="7"/>
      <c r="U64" s="7"/>
      <c r="V64" s="7"/>
      <c r="W64" s="7"/>
      <c r="X64" s="7"/>
    </row>
    <row r="65" spans="1:24" x14ac:dyDescent="0.3">
      <c r="A65" s="7"/>
      <c r="B65" s="7"/>
      <c r="C65" s="7"/>
      <c r="D65" s="7"/>
      <c r="E65" s="7"/>
      <c r="F65" s="7"/>
      <c r="G65" s="7"/>
      <c r="H65" s="7"/>
      <c r="I65" s="7"/>
      <c r="J65" s="7"/>
      <c r="K65" s="7"/>
      <c r="L65" s="7"/>
      <c r="M65" s="7"/>
      <c r="N65" s="7"/>
      <c r="O65" s="7"/>
      <c r="P65" s="7"/>
      <c r="Q65" s="7"/>
      <c r="R65" s="7"/>
      <c r="S65" s="7"/>
      <c r="T65" s="7"/>
      <c r="U65" s="7"/>
      <c r="V65" s="7"/>
      <c r="W65" s="7"/>
      <c r="X65" s="7"/>
    </row>
    <row r="66" spans="1:24" x14ac:dyDescent="0.3">
      <c r="A66" s="7"/>
      <c r="B66" s="7"/>
      <c r="C66" s="7"/>
      <c r="D66" s="7"/>
      <c r="E66" s="7"/>
      <c r="F66" s="7"/>
      <c r="G66" s="7"/>
      <c r="H66" s="7"/>
      <c r="I66" s="7"/>
      <c r="J66" s="7"/>
      <c r="K66" s="7"/>
      <c r="L66" s="7"/>
      <c r="M66" s="7"/>
      <c r="N66" s="7"/>
      <c r="O66" s="7"/>
      <c r="P66" s="7"/>
      <c r="Q66" s="7"/>
      <c r="R66" s="7"/>
      <c r="S66" s="7"/>
      <c r="T66" s="7"/>
      <c r="U66" s="7"/>
      <c r="V66" s="7"/>
      <c r="W66" s="7"/>
      <c r="X66" s="7"/>
    </row>
    <row r="67" spans="1:24" x14ac:dyDescent="0.3">
      <c r="A67" s="7"/>
      <c r="B67" s="7"/>
      <c r="C67" s="7"/>
      <c r="D67" s="7"/>
      <c r="E67" s="7"/>
      <c r="F67" s="7"/>
      <c r="G67" s="7"/>
      <c r="H67" s="7"/>
      <c r="I67" s="7"/>
      <c r="J67" s="7"/>
      <c r="K67" s="7"/>
      <c r="L67" s="7"/>
      <c r="M67" s="7"/>
      <c r="N67" s="7"/>
      <c r="O67" s="7"/>
      <c r="P67" s="7"/>
      <c r="Q67" s="7"/>
      <c r="R67" s="7"/>
      <c r="S67" s="7"/>
      <c r="T67" s="7"/>
      <c r="U67" s="7"/>
      <c r="V67" s="7"/>
      <c r="W67" s="7"/>
      <c r="X67" s="7"/>
    </row>
    <row r="68" spans="1:24" x14ac:dyDescent="0.3">
      <c r="A68" s="7"/>
      <c r="B68" s="7"/>
      <c r="C68" s="7"/>
      <c r="D68" s="7"/>
      <c r="E68" s="7"/>
      <c r="F68" s="7"/>
      <c r="G68" s="7"/>
      <c r="H68" s="7"/>
      <c r="I68" s="7"/>
      <c r="J68" s="7"/>
      <c r="K68" s="7"/>
      <c r="L68" s="7"/>
      <c r="M68" s="7"/>
      <c r="N68" s="7"/>
      <c r="O68" s="7"/>
      <c r="P68" s="7"/>
      <c r="Q68" s="7"/>
      <c r="R68" s="7"/>
      <c r="S68" s="7"/>
      <c r="T68" s="7"/>
      <c r="U68" s="7"/>
      <c r="V68" s="7"/>
      <c r="W68" s="7"/>
      <c r="X68" s="7"/>
    </row>
    <row r="69" spans="1:24" x14ac:dyDescent="0.3">
      <c r="A69" s="7"/>
      <c r="B69" s="7"/>
      <c r="C69" s="7"/>
      <c r="D69" s="7"/>
      <c r="E69" s="7"/>
      <c r="F69" s="7"/>
      <c r="G69" s="7"/>
      <c r="H69" s="7"/>
      <c r="I69" s="7"/>
      <c r="J69" s="7"/>
      <c r="K69" s="7"/>
      <c r="L69" s="7"/>
      <c r="M69" s="7"/>
      <c r="N69" s="7"/>
      <c r="O69" s="7"/>
      <c r="P69" s="7"/>
      <c r="Q69" s="7"/>
      <c r="R69" s="7"/>
      <c r="S69" s="7"/>
      <c r="T69" s="7"/>
      <c r="U69" s="7"/>
      <c r="V69" s="7"/>
      <c r="W69" s="7"/>
      <c r="X69" s="7"/>
    </row>
    <row r="70" spans="1:24" x14ac:dyDescent="0.3">
      <c r="A70" s="7"/>
      <c r="B70" s="7"/>
      <c r="C70" s="7"/>
      <c r="D70" s="7"/>
      <c r="E70" s="7"/>
      <c r="F70" s="7"/>
      <c r="G70" s="7"/>
      <c r="H70" s="7"/>
      <c r="I70" s="7"/>
      <c r="J70" s="7"/>
      <c r="K70" s="7"/>
      <c r="L70" s="7"/>
      <c r="M70" s="7"/>
      <c r="N70" s="7"/>
      <c r="O70" s="7"/>
      <c r="P70" s="7"/>
      <c r="Q70" s="7"/>
      <c r="R70" s="7"/>
      <c r="S70" s="7"/>
      <c r="T70" s="7"/>
      <c r="U70" s="7"/>
      <c r="V70" s="7"/>
      <c r="W70" s="7"/>
      <c r="X7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OriginalData</vt:lpstr>
      <vt:lpstr>SourceData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chandra prasath S</cp:lastModifiedBy>
  <dcterms:created xsi:type="dcterms:W3CDTF">2025-10-12T06:18:15Z</dcterms:created>
  <dcterms:modified xsi:type="dcterms:W3CDTF">2025-12-01T07:40:56Z</dcterms:modified>
</cp:coreProperties>
</file>