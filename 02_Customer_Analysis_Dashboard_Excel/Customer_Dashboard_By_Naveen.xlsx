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564e4655e923a28f/Desktop/Data analysis/Excel/Dataset Files/Excel Projects/Cus_analysis_project/"/>
    </mc:Choice>
  </mc:AlternateContent>
  <xr:revisionPtr revIDLastSave="621" documentId="11_8D65B861DE8AD3A9D2B24BAE5B23D8FACF460201" xr6:coauthVersionLast="47" xr6:coauthVersionMax="47" xr10:uidLastSave="{B811B450-729D-4C99-8E32-7EB1664818D4}"/>
  <bookViews>
    <workbookView xWindow="-108" yWindow="-108" windowWidth="23256" windowHeight="13896" activeTab="3" xr2:uid="{00000000-000D-0000-FFFF-FFFF00000000}"/>
  </bookViews>
  <sheets>
    <sheet name="Instructions" sheetId="2" r:id="rId1"/>
    <sheet name="CustomerData" sheetId="1" r:id="rId2"/>
    <sheet name="Pivot Table" sheetId="5" r:id="rId3"/>
    <sheet name="Dashboard" sheetId="6" r:id="rId4"/>
  </sheets>
  <definedNames>
    <definedName name="Slicer_Category">#N/A</definedName>
    <definedName name="Slicer_Location">#N/A</definedName>
    <definedName name="Slicer_OrderStatus">#N/A</definedName>
    <definedName name="Slicer_PaymentMethod">#N/A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1" l="1"/>
  <c r="P3" i="1"/>
  <c r="R3" i="1" s="1"/>
</calcChain>
</file>

<file path=xl/sharedStrings.xml><?xml version="1.0" encoding="utf-8"?>
<sst xmlns="http://schemas.openxmlformats.org/spreadsheetml/2006/main" count="474" uniqueCount="184">
  <si>
    <t>CustomerID</t>
  </si>
  <si>
    <t>CustomerName</t>
  </si>
  <si>
    <t>Gender</t>
  </si>
  <si>
    <t>Age</t>
  </si>
  <si>
    <t>Location</t>
  </si>
  <si>
    <t>Product</t>
  </si>
  <si>
    <t>Category</t>
  </si>
  <si>
    <t>OrderDate</t>
  </si>
  <si>
    <t>Quantity</t>
  </si>
  <si>
    <t>UnitPrice</t>
  </si>
  <si>
    <t>PaymentMethod</t>
  </si>
  <si>
    <t>OrderStatus</t>
  </si>
  <si>
    <t>Revenue</t>
  </si>
  <si>
    <t>C001</t>
  </si>
  <si>
    <t>Arjun</t>
  </si>
  <si>
    <t>Male</t>
  </si>
  <si>
    <t>Delhi</t>
  </si>
  <si>
    <t>Laptop</t>
  </si>
  <si>
    <t>Electronics</t>
  </si>
  <si>
    <t>UPI</t>
  </si>
  <si>
    <t>Delivered</t>
  </si>
  <si>
    <t>C002</t>
  </si>
  <si>
    <t>Priya</t>
  </si>
  <si>
    <t>Female</t>
  </si>
  <si>
    <t>Mumbai</t>
  </si>
  <si>
    <t>Headphones</t>
  </si>
  <si>
    <t>Credit Card</t>
  </si>
  <si>
    <t>C003</t>
  </si>
  <si>
    <t>Rajesh</t>
  </si>
  <si>
    <t>Chennai</t>
  </si>
  <si>
    <t>Shirt</t>
  </si>
  <si>
    <t>Fashion</t>
  </si>
  <si>
    <t>COD</t>
  </si>
  <si>
    <t>Pending</t>
  </si>
  <si>
    <t>C004</t>
  </si>
  <si>
    <t>Meena</t>
  </si>
  <si>
    <t>Bangalore</t>
  </si>
  <si>
    <t>Shoes</t>
  </si>
  <si>
    <t>C005</t>
  </si>
  <si>
    <t>Sunil</t>
  </si>
  <si>
    <t>Hyderabad</t>
  </si>
  <si>
    <t>Mobile</t>
  </si>
  <si>
    <t>Cancelled</t>
  </si>
  <si>
    <t>C006</t>
  </si>
  <si>
    <t>Kavya</t>
  </si>
  <si>
    <t>Pune</t>
  </si>
  <si>
    <t>Watch</t>
  </si>
  <si>
    <t>Accessories</t>
  </si>
  <si>
    <t>C007</t>
  </si>
  <si>
    <t>Rohit</t>
  </si>
  <si>
    <t>Debit Card</t>
  </si>
  <si>
    <t>C008</t>
  </si>
  <si>
    <t>Sneha</t>
  </si>
  <si>
    <t>Earrings</t>
  </si>
  <si>
    <t>C009</t>
  </si>
  <si>
    <t>Deepak</t>
  </si>
  <si>
    <t>Tablet</t>
  </si>
  <si>
    <t>C010</t>
  </si>
  <si>
    <t>Divya</t>
  </si>
  <si>
    <t>Handbag</t>
  </si>
  <si>
    <t>C011</t>
  </si>
  <si>
    <t>Amit</t>
  </si>
  <si>
    <t>T-shirt</t>
  </si>
  <si>
    <t>C012</t>
  </si>
  <si>
    <t>Riya</t>
  </si>
  <si>
    <t>C013</t>
  </si>
  <si>
    <t>Naveen</t>
  </si>
  <si>
    <t>C014</t>
  </si>
  <si>
    <t>Harsha</t>
  </si>
  <si>
    <t>Makeup Kit</t>
  </si>
  <si>
    <t>Beauty</t>
  </si>
  <si>
    <t>C015</t>
  </si>
  <si>
    <t>Sanjay</t>
  </si>
  <si>
    <t>TV</t>
  </si>
  <si>
    <t>C016</t>
  </si>
  <si>
    <t>Anita</t>
  </si>
  <si>
    <t>Perfume</t>
  </si>
  <si>
    <t>C017</t>
  </si>
  <si>
    <t>Karthik</t>
  </si>
  <si>
    <t>C018</t>
  </si>
  <si>
    <t>Divakar</t>
  </si>
  <si>
    <t>C019</t>
  </si>
  <si>
    <t>Monica</t>
  </si>
  <si>
    <t>Office Chair</t>
  </si>
  <si>
    <t>Furniture</t>
  </si>
  <si>
    <t>C020</t>
  </si>
  <si>
    <t>Gaurav</t>
  </si>
  <si>
    <t>C021</t>
  </si>
  <si>
    <t>Anjali</t>
  </si>
  <si>
    <t>Face Cream</t>
  </si>
  <si>
    <t>C022</t>
  </si>
  <si>
    <t>Varun</t>
  </si>
  <si>
    <t>Keyboard</t>
  </si>
  <si>
    <t>C023</t>
  </si>
  <si>
    <t>Sahana</t>
  </si>
  <si>
    <t>C024</t>
  </si>
  <si>
    <t>Rakesh</t>
  </si>
  <si>
    <t>C025</t>
  </si>
  <si>
    <t>Manju</t>
  </si>
  <si>
    <t>Saree</t>
  </si>
  <si>
    <t>C026</t>
  </si>
  <si>
    <t>Yogesh</t>
  </si>
  <si>
    <t>C027</t>
  </si>
  <si>
    <t>Sruthi</t>
  </si>
  <si>
    <t>Lipstick</t>
  </si>
  <si>
    <t>C028</t>
  </si>
  <si>
    <t>Nitin</t>
  </si>
  <si>
    <t>Earbuds</t>
  </si>
  <si>
    <t>C029</t>
  </si>
  <si>
    <t>Preethi</t>
  </si>
  <si>
    <t>C030</t>
  </si>
  <si>
    <t>Sarath</t>
  </si>
  <si>
    <t>Office Table</t>
  </si>
  <si>
    <t>C031</t>
  </si>
  <si>
    <t>Latha</t>
  </si>
  <si>
    <t>C032</t>
  </si>
  <si>
    <t>Abhishek</t>
  </si>
  <si>
    <t>C033</t>
  </si>
  <si>
    <t>Geeta</t>
  </si>
  <si>
    <t>C034</t>
  </si>
  <si>
    <t>Rohan</t>
  </si>
  <si>
    <t>C035</t>
  </si>
  <si>
    <t>Keerthi</t>
  </si>
  <si>
    <t>C036</t>
  </si>
  <si>
    <t>Vikram</t>
  </si>
  <si>
    <t>C037</t>
  </si>
  <si>
    <t>Shalini</t>
  </si>
  <si>
    <t>Face Wash</t>
  </si>
  <si>
    <t>C038</t>
  </si>
  <si>
    <t>Mukesh</t>
  </si>
  <si>
    <t>C039</t>
  </si>
  <si>
    <t>Akriti</t>
  </si>
  <si>
    <t>C040</t>
  </si>
  <si>
    <t>Suresh</t>
  </si>
  <si>
    <t>C041</t>
  </si>
  <si>
    <t>C042</t>
  </si>
  <si>
    <t>Ajay</t>
  </si>
  <si>
    <t>C043</t>
  </si>
  <si>
    <t>Nisha</t>
  </si>
  <si>
    <t>C044</t>
  </si>
  <si>
    <t>Hari</t>
  </si>
  <si>
    <t>C045</t>
  </si>
  <si>
    <t>Rekha</t>
  </si>
  <si>
    <t>C046</t>
  </si>
  <si>
    <t>Gopi</t>
  </si>
  <si>
    <t>C047</t>
  </si>
  <si>
    <t>Swetha</t>
  </si>
  <si>
    <t>C048</t>
  </si>
  <si>
    <t>Maruthi</t>
  </si>
  <si>
    <t>C049</t>
  </si>
  <si>
    <t>Anu</t>
  </si>
  <si>
    <t>C050</t>
  </si>
  <si>
    <t>Raj</t>
  </si>
  <si>
    <t>Topic</t>
  </si>
  <si>
    <t>Details</t>
  </si>
  <si>
    <t>KPIs</t>
  </si>
  <si>
    <t>Total Revenue; Total Orders; Average Order Value; Top Product Category; Top City by Revenue</t>
  </si>
  <si>
    <t>Charts</t>
  </si>
  <si>
    <t>Slicers</t>
  </si>
  <si>
    <t>Category; Location; OrderStatus; PaymentMethod</t>
  </si>
  <si>
    <t>PivotTableTips</t>
  </si>
  <si>
    <t>Place 'Category' in Rows, 'Revenue' in Values (Sum) to get Category-wise Sales</t>
  </si>
  <si>
    <t>Questions</t>
  </si>
  <si>
    <t>Row Labels</t>
  </si>
  <si>
    <t>Grand Total</t>
  </si>
  <si>
    <t>Sum of Revenue</t>
  </si>
  <si>
    <t>Jan</t>
  </si>
  <si>
    <t>Feb</t>
  </si>
  <si>
    <t>Mar</t>
  </si>
  <si>
    <t>Apr</t>
  </si>
  <si>
    <t>May</t>
  </si>
  <si>
    <t>Total Revenue</t>
  </si>
  <si>
    <t>Total Orders</t>
  </si>
  <si>
    <t>Avg Order Values</t>
  </si>
  <si>
    <t xml:space="preserve">Category-wise Sales (Column); Location-wise Revenue (Bar); Monthly Sales Trend (Line); Gender-wise Sales (Pie);  </t>
  </si>
  <si>
    <t>Top 5 Customers by Revenue (Horizontal Bar)</t>
  </si>
  <si>
    <t>Q2. Which city contributes most to total sales?;</t>
  </si>
  <si>
    <t>Q3. Which gender spends more?;</t>
  </si>
  <si>
    <t>Q4. Who are the top 5 customers?;</t>
  </si>
  <si>
    <t>Q5. What is the monthly revenue trend from Jan–May?;</t>
  </si>
  <si>
    <t xml:space="preserve">Q6. Which payment method is most commonly used?; </t>
  </si>
  <si>
    <t>Q7. What percentage of orders were Cancelled/Pending/Delivered?;</t>
  </si>
  <si>
    <t xml:space="preserve">Q1. Which product category generates the highest revenue?;  </t>
  </si>
  <si>
    <t>Q8. What is the average customer age for each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</si>
</sst>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409]d\-mmm\-yyyy;@"/>
  </numFmts>
  <fonts count="5" x14ac:knownFonts="1">
    <font>
      <sz val="11"/>
      <color theme="1"/>
      <name val="Calibri"/>
      <family val="2"/>
      <scheme val="minor"/>
    </font>
    <font>
      <b/>
      <sz val="11"/>
      <name val="Calibri"/>
      <family val="2"/>
    </font>
    <font>
      <b/>
      <sz val="11"/>
      <color theme="1"/>
      <name val="Calibri"/>
      <family val="2"/>
      <scheme val="minor"/>
    </font>
    <font>
      <sz val="11"/>
      <name val="Calibri"/>
      <family val="2"/>
    </font>
    <font>
      <sz val="11"/>
      <name val="Calibri"/>
      <family val="2"/>
      <scheme val="minor"/>
    </font>
  </fonts>
  <fills count="3">
    <fill>
      <patternFill patternType="none"/>
    </fill>
    <fill>
      <patternFill patternType="gray125"/>
    </fill>
    <fill>
      <patternFill patternType="solid">
        <fgColor rgb="FFF2F2F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2" fillId="0" borderId="0" xfId="0" applyFont="1"/>
    <xf numFmtId="0" fontId="0" fillId="2" borderId="0" xfId="0" applyFill="1"/>
    <xf numFmtId="165" fontId="0" fillId="0" borderId="0" xfId="0" applyNumberFormat="1"/>
    <xf numFmtId="0" fontId="3" fillId="0" borderId="0" xfId="0" applyFont="1" applyAlignment="1">
      <alignment horizontal="center" vertical="top"/>
    </xf>
    <xf numFmtId="0" fontId="4" fillId="0" borderId="0" xfId="0" applyFont="1"/>
    <xf numFmtId="0" fontId="1" fillId="0" borderId="2" xfId="0" applyFont="1" applyBorder="1" applyAlignment="1">
      <alignment horizontal="center" vertical="top"/>
    </xf>
  </cellXfs>
  <cellStyles count="1">
    <cellStyle name="Normal" xfId="0" builtinId="0"/>
  </cellStyles>
  <dxfs count="5">
    <dxf>
      <numFmt numFmtId="165" formatCode="[$-409]d\-m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font>
    </dxf>
  </dxfs>
  <tableStyles count="0" defaultTableStyle="TableStyleMedium9" defaultPivotStyle="PivotStyleLight16"/>
  <colors>
    <mruColors>
      <color rgb="FF1F4E79"/>
      <color rgb="FF2E8EAF"/>
      <color rgb="FFB4C7E7"/>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[Customer_Dashboard_By_Naveen.xlsx]Pivot Table!PivotTable1</c:name>
    <c:fmtId val="3"/>
  </c:pivotSource>
  <c:chart>
    <c:title>
      <c:tx>
        <c:rich>
          <a:bodyPr rot="0" spcFirstLastPara="1" vertOverflow="ellipsis" vert="horz" wrap="square" anchor="ctr" anchorCtr="1"/>
          <a:lstStyle/>
          <a:p>
            <a:pPr>
              <a:defRPr sz="1400" b="0" i="0" u="none" strike="noStrike" kern="1200" spc="0" baseline="0">
                <a:solidFill>
                  <a:srgbClr val="1F4E79"/>
                </a:solidFill>
                <a:latin typeface="+mn-lt"/>
                <a:ea typeface="+mn-ea"/>
                <a:cs typeface="+mn-cs"/>
              </a:defRPr>
            </a:pPr>
            <a:r>
              <a:rPr lang="en-IN"/>
              <a:t>Category-Wise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F4E7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F4E7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Table'!$A$4:$A$9</c:f>
              <c:strCache>
                <c:ptCount val="5"/>
                <c:pt idx="0">
                  <c:v>Accessories</c:v>
                </c:pt>
                <c:pt idx="1">
                  <c:v>Beauty</c:v>
                </c:pt>
                <c:pt idx="2">
                  <c:v>Electronics</c:v>
                </c:pt>
                <c:pt idx="3">
                  <c:v>Fashion</c:v>
                </c:pt>
                <c:pt idx="4">
                  <c:v>Furniture</c:v>
                </c:pt>
              </c:strCache>
            </c:strRef>
          </c:cat>
          <c:val>
            <c:numRef>
              <c:f>'Pivot Table'!$B$4:$B$9</c:f>
              <c:numCache>
                <c:formatCode>General</c:formatCode>
                <c:ptCount val="5"/>
                <c:pt idx="0">
                  <c:v>13400</c:v>
                </c:pt>
                <c:pt idx="1">
                  <c:v>8045</c:v>
                </c:pt>
                <c:pt idx="2">
                  <c:v>542798</c:v>
                </c:pt>
                <c:pt idx="3">
                  <c:v>22685</c:v>
                </c:pt>
                <c:pt idx="4">
                  <c:v>20000</c:v>
                </c:pt>
              </c:numCache>
            </c:numRef>
          </c:val>
          <c:extLst>
            <c:ext xmlns:c16="http://schemas.microsoft.com/office/drawing/2014/chart" uri="{C3380CC4-5D6E-409C-BE32-E72D297353CC}">
              <c16:uniqueId val="{00000000-E5BA-4DE6-AB78-3938DD287E57}"/>
            </c:ext>
          </c:extLst>
        </c:ser>
        <c:dLbls>
          <c:showLegendKey val="0"/>
          <c:showVal val="0"/>
          <c:showCatName val="0"/>
          <c:showSerName val="0"/>
          <c:showPercent val="0"/>
          <c:showBubbleSize val="0"/>
        </c:dLbls>
        <c:gapWidth val="219"/>
        <c:overlap val="100"/>
        <c:axId val="1030063983"/>
        <c:axId val="1030084623"/>
      </c:barChart>
      <c:catAx>
        <c:axId val="1030063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4E79"/>
                </a:solidFill>
                <a:latin typeface="+mn-lt"/>
                <a:ea typeface="+mn-ea"/>
                <a:cs typeface="+mn-cs"/>
              </a:defRPr>
            </a:pPr>
            <a:endParaRPr lang="en-US"/>
          </a:p>
        </c:txPr>
        <c:crossAx val="1030084623"/>
        <c:crosses val="autoZero"/>
        <c:auto val="1"/>
        <c:lblAlgn val="ctr"/>
        <c:lblOffset val="100"/>
        <c:noMultiLvlLbl val="0"/>
      </c:catAx>
      <c:valAx>
        <c:axId val="10300846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4E79"/>
                </a:solidFill>
                <a:latin typeface="+mn-lt"/>
                <a:ea typeface="+mn-ea"/>
                <a:cs typeface="+mn-cs"/>
              </a:defRPr>
            </a:pPr>
            <a:endParaRPr lang="en-US"/>
          </a:p>
        </c:txPr>
        <c:crossAx val="103006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F4E79"/>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4C7E7"/>
      </a:solidFill>
      <a:round/>
    </a:ln>
    <a:effectLst/>
  </c:spPr>
  <c:txPr>
    <a:bodyPr/>
    <a:lstStyle/>
    <a:p>
      <a:pPr>
        <a:defRPr>
          <a:solidFill>
            <a:srgbClr val="1F4E7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[Customer_Dashboard_By_Naveen.xlsx]Pivot Table!PivotTable2</c:name>
    <c:fmtId val="2"/>
  </c:pivotSource>
  <c:chart>
    <c:title>
      <c:tx>
        <c:rich>
          <a:bodyPr rot="0" spcFirstLastPara="1" vertOverflow="ellipsis" vert="horz" wrap="square" anchor="ctr" anchorCtr="1"/>
          <a:lstStyle/>
          <a:p>
            <a:pPr>
              <a:defRPr sz="1400" b="0" i="0" u="none" strike="noStrike" kern="1200" spc="0" baseline="0">
                <a:solidFill>
                  <a:srgbClr val="1F4E79"/>
                </a:solidFill>
                <a:latin typeface="+mn-lt"/>
                <a:ea typeface="+mn-ea"/>
                <a:cs typeface="+mn-cs"/>
              </a:defRPr>
            </a:pPr>
            <a:r>
              <a:rPr lang="en-US"/>
              <a:t>Location-Wise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F4E7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F4E7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Table'!$B$13</c:f>
              <c:strCache>
                <c:ptCount val="1"/>
                <c:pt idx="0">
                  <c:v>Total</c:v>
                </c:pt>
              </c:strCache>
            </c:strRef>
          </c:tx>
          <c:spPr>
            <a:solidFill>
              <a:schemeClr val="accent1"/>
            </a:solidFill>
            <a:ln>
              <a:noFill/>
            </a:ln>
            <a:effectLst/>
          </c:spPr>
          <c:invertIfNegative val="0"/>
          <c:cat>
            <c:strRef>
              <c:f>'Pivot Table'!$A$14:$A$20</c:f>
              <c:strCache>
                <c:ptCount val="6"/>
                <c:pt idx="0">
                  <c:v>Bangalore</c:v>
                </c:pt>
                <c:pt idx="1">
                  <c:v>Chennai</c:v>
                </c:pt>
                <c:pt idx="2">
                  <c:v>Delhi</c:v>
                </c:pt>
                <c:pt idx="3">
                  <c:v>Hyderabad</c:v>
                </c:pt>
                <c:pt idx="4">
                  <c:v>Mumbai</c:v>
                </c:pt>
                <c:pt idx="5">
                  <c:v>Pune</c:v>
                </c:pt>
              </c:strCache>
            </c:strRef>
          </c:cat>
          <c:val>
            <c:numRef>
              <c:f>'Pivot Table'!$B$14:$B$20</c:f>
              <c:numCache>
                <c:formatCode>General</c:formatCode>
                <c:ptCount val="6"/>
                <c:pt idx="0">
                  <c:v>64195</c:v>
                </c:pt>
                <c:pt idx="1">
                  <c:v>195897</c:v>
                </c:pt>
                <c:pt idx="2">
                  <c:v>194800</c:v>
                </c:pt>
                <c:pt idx="3">
                  <c:v>32794</c:v>
                </c:pt>
                <c:pt idx="4">
                  <c:v>86445</c:v>
                </c:pt>
                <c:pt idx="5">
                  <c:v>32797</c:v>
                </c:pt>
              </c:numCache>
            </c:numRef>
          </c:val>
          <c:extLst>
            <c:ext xmlns:c16="http://schemas.microsoft.com/office/drawing/2014/chart" uri="{C3380CC4-5D6E-409C-BE32-E72D297353CC}">
              <c16:uniqueId val="{00000000-D698-4158-8D07-0E71D369B716}"/>
            </c:ext>
          </c:extLst>
        </c:ser>
        <c:dLbls>
          <c:showLegendKey val="0"/>
          <c:showVal val="0"/>
          <c:showCatName val="0"/>
          <c:showSerName val="0"/>
          <c:showPercent val="0"/>
          <c:showBubbleSize val="0"/>
        </c:dLbls>
        <c:gapWidth val="182"/>
        <c:overlap val="100"/>
        <c:axId val="1030046703"/>
        <c:axId val="1030041903"/>
      </c:barChart>
      <c:catAx>
        <c:axId val="103004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4E79"/>
                </a:solidFill>
                <a:latin typeface="+mn-lt"/>
                <a:ea typeface="+mn-ea"/>
                <a:cs typeface="+mn-cs"/>
              </a:defRPr>
            </a:pPr>
            <a:endParaRPr lang="en-US"/>
          </a:p>
        </c:txPr>
        <c:crossAx val="1030041903"/>
        <c:crosses val="autoZero"/>
        <c:auto val="1"/>
        <c:lblAlgn val="ctr"/>
        <c:lblOffset val="100"/>
        <c:noMultiLvlLbl val="0"/>
      </c:catAx>
      <c:valAx>
        <c:axId val="103004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4E79"/>
                </a:solidFill>
                <a:latin typeface="+mn-lt"/>
                <a:ea typeface="+mn-ea"/>
                <a:cs typeface="+mn-cs"/>
              </a:defRPr>
            </a:pPr>
            <a:endParaRPr lang="en-US"/>
          </a:p>
        </c:txPr>
        <c:crossAx val="103004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F4E79"/>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4C7E7"/>
      </a:solidFill>
      <a:round/>
    </a:ln>
    <a:effectLst/>
  </c:spPr>
  <c:txPr>
    <a:bodyPr/>
    <a:lstStyle/>
    <a:p>
      <a:pPr>
        <a:defRPr>
          <a:solidFill>
            <a:srgbClr val="1F4E7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[Customer_Dashboard_By_Naveen.xlsx]Pivot Table!PivotTable3</c:name>
    <c:fmtId val="2"/>
  </c:pivotSource>
  <c:chart>
    <c:title>
      <c:tx>
        <c:rich>
          <a:bodyPr rot="0" spcFirstLastPara="1" vertOverflow="ellipsis" vert="horz" wrap="square" anchor="ctr" anchorCtr="1"/>
          <a:lstStyle/>
          <a:p>
            <a:pPr>
              <a:defRPr sz="1400" b="0" i="0" u="none" strike="noStrike" kern="1200" spc="0" baseline="0">
                <a:solidFill>
                  <a:srgbClr val="1F4E79"/>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F4E79"/>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F4E7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Table'!$F$3</c:f>
              <c:strCache>
                <c:ptCount val="1"/>
                <c:pt idx="0">
                  <c:v>Total</c:v>
                </c:pt>
              </c:strCache>
            </c:strRef>
          </c:tx>
          <c:spPr>
            <a:ln w="28575" cap="rnd">
              <a:solidFill>
                <a:schemeClr val="accent1"/>
              </a:solidFill>
              <a:round/>
            </a:ln>
            <a:effectLst/>
          </c:spPr>
          <c:marker>
            <c:symbol val="none"/>
          </c:marker>
          <c:cat>
            <c:strRef>
              <c:f>'Pivot Table'!$E$4:$E$9</c:f>
              <c:strCache>
                <c:ptCount val="5"/>
                <c:pt idx="0">
                  <c:v>Jan</c:v>
                </c:pt>
                <c:pt idx="1">
                  <c:v>Feb</c:v>
                </c:pt>
                <c:pt idx="2">
                  <c:v>Mar</c:v>
                </c:pt>
                <c:pt idx="3">
                  <c:v>Apr</c:v>
                </c:pt>
                <c:pt idx="4">
                  <c:v>May</c:v>
                </c:pt>
              </c:strCache>
            </c:strRef>
          </c:cat>
          <c:val>
            <c:numRef>
              <c:f>'Pivot Table'!$F$4:$F$9</c:f>
              <c:numCache>
                <c:formatCode>General</c:formatCode>
                <c:ptCount val="5"/>
                <c:pt idx="0">
                  <c:v>82396</c:v>
                </c:pt>
                <c:pt idx="1">
                  <c:v>101394</c:v>
                </c:pt>
                <c:pt idx="2">
                  <c:v>146198</c:v>
                </c:pt>
                <c:pt idx="3">
                  <c:v>148694</c:v>
                </c:pt>
                <c:pt idx="4">
                  <c:v>128246</c:v>
                </c:pt>
              </c:numCache>
            </c:numRef>
          </c:val>
          <c:smooth val="0"/>
          <c:extLst>
            <c:ext xmlns:c16="http://schemas.microsoft.com/office/drawing/2014/chart" uri="{C3380CC4-5D6E-409C-BE32-E72D297353CC}">
              <c16:uniqueId val="{00000000-17CA-4767-823E-B7F9E35CEE6C}"/>
            </c:ext>
          </c:extLst>
        </c:ser>
        <c:dLbls>
          <c:showLegendKey val="0"/>
          <c:showVal val="0"/>
          <c:showCatName val="0"/>
          <c:showSerName val="0"/>
          <c:showPercent val="0"/>
          <c:showBubbleSize val="0"/>
        </c:dLbls>
        <c:smooth val="0"/>
        <c:axId val="1030043343"/>
        <c:axId val="1030045743"/>
      </c:lineChart>
      <c:catAx>
        <c:axId val="103004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4E79"/>
                </a:solidFill>
                <a:latin typeface="+mn-lt"/>
                <a:ea typeface="+mn-ea"/>
                <a:cs typeface="+mn-cs"/>
              </a:defRPr>
            </a:pPr>
            <a:endParaRPr lang="en-US"/>
          </a:p>
        </c:txPr>
        <c:crossAx val="1030045743"/>
        <c:crosses val="autoZero"/>
        <c:auto val="1"/>
        <c:lblAlgn val="ctr"/>
        <c:lblOffset val="100"/>
        <c:noMultiLvlLbl val="0"/>
      </c:catAx>
      <c:valAx>
        <c:axId val="103004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4E79"/>
                </a:solidFill>
                <a:latin typeface="+mn-lt"/>
                <a:ea typeface="+mn-ea"/>
                <a:cs typeface="+mn-cs"/>
              </a:defRPr>
            </a:pPr>
            <a:endParaRPr lang="en-US"/>
          </a:p>
        </c:txPr>
        <c:crossAx val="103004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F4E79"/>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4C7E7"/>
      </a:solidFill>
      <a:round/>
    </a:ln>
    <a:effectLst/>
  </c:spPr>
  <c:txPr>
    <a:bodyPr/>
    <a:lstStyle/>
    <a:p>
      <a:pPr>
        <a:defRPr>
          <a:solidFill>
            <a:srgbClr val="1F4E7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[Customer_Dashboard_By_Naveen.xlsx]Pivot Table!PivotTable4</c:name>
    <c:fmtId val="2"/>
  </c:pivotSource>
  <c:chart>
    <c:title>
      <c:tx>
        <c:rich>
          <a:bodyPr rot="0" spcFirstLastPara="1" vertOverflow="ellipsis" vert="horz" wrap="square" anchor="ctr" anchorCtr="1"/>
          <a:lstStyle/>
          <a:p>
            <a:pPr>
              <a:defRPr sz="1400" b="0" i="0" u="none" strike="noStrike" kern="1200" spc="0" baseline="0">
                <a:solidFill>
                  <a:srgbClr val="1F4E79"/>
                </a:solidFill>
                <a:latin typeface="+mn-lt"/>
                <a:ea typeface="+mn-ea"/>
                <a:cs typeface="+mn-cs"/>
              </a:defRPr>
            </a:pPr>
            <a:r>
              <a:rPr lang="en-US"/>
              <a:t>Gender-Wise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F4E79"/>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F4E7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6">
              <a:lumMod val="75000"/>
            </a:schemeClr>
          </a:solidFill>
          <a:ln w="19050">
            <a:solidFill>
              <a:schemeClr val="lt1"/>
            </a:solidFill>
          </a:ln>
          <a:effectLst/>
        </c:spPr>
      </c:pivotFmt>
    </c:pivotFmts>
    <c:plotArea>
      <c:layout/>
      <c:pieChart>
        <c:varyColors val="1"/>
        <c:ser>
          <c:idx val="0"/>
          <c:order val="0"/>
          <c:tx>
            <c:strRef>
              <c:f>'Pivot Table'!$F$13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74-4DC4-ABE9-36561AB3AED2}"/>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474-4DC4-ABE9-36561AB3AED2}"/>
              </c:ext>
            </c:extLst>
          </c:dPt>
          <c:cat>
            <c:strRef>
              <c:f>'Pivot Table'!$E$14:$E$16</c:f>
              <c:strCache>
                <c:ptCount val="2"/>
                <c:pt idx="0">
                  <c:v>Female</c:v>
                </c:pt>
                <c:pt idx="1">
                  <c:v>Male</c:v>
                </c:pt>
              </c:strCache>
            </c:strRef>
          </c:cat>
          <c:val>
            <c:numRef>
              <c:f>'Pivot Table'!$F$14:$F$16</c:f>
              <c:numCache>
                <c:formatCode>General</c:formatCode>
                <c:ptCount val="2"/>
                <c:pt idx="0">
                  <c:v>100437</c:v>
                </c:pt>
                <c:pt idx="1">
                  <c:v>506491</c:v>
                </c:pt>
              </c:numCache>
            </c:numRef>
          </c:val>
          <c:extLst>
            <c:ext xmlns:c16="http://schemas.microsoft.com/office/drawing/2014/chart" uri="{C3380CC4-5D6E-409C-BE32-E72D297353CC}">
              <c16:uniqueId val="{00000004-5474-4DC4-ABE9-36561AB3AED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F4E79"/>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4C7E7"/>
      </a:solidFill>
      <a:round/>
    </a:ln>
    <a:effectLst/>
  </c:spPr>
  <c:txPr>
    <a:bodyPr/>
    <a:lstStyle/>
    <a:p>
      <a:pPr>
        <a:defRPr>
          <a:solidFill>
            <a:srgbClr val="1F4E7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[Customer_Dashboard_By_Naveen.xlsx]Pivot Table!PivotTable5</c:name>
    <c:fmtId val="4"/>
  </c:pivotSource>
  <c:chart>
    <c:title>
      <c:tx>
        <c:rich>
          <a:bodyPr rot="0" spcFirstLastPara="1" vertOverflow="ellipsis" vert="horz" wrap="square" anchor="ctr" anchorCtr="1"/>
          <a:lstStyle/>
          <a:p>
            <a:pPr>
              <a:defRPr sz="1400" b="0" i="0" u="none" strike="noStrike" kern="1200" spc="0" baseline="0">
                <a:solidFill>
                  <a:srgbClr val="1F4E79"/>
                </a:solidFill>
                <a:latin typeface="+mn-lt"/>
                <a:ea typeface="+mn-ea"/>
                <a:cs typeface="+mn-cs"/>
              </a:defRPr>
            </a:pPr>
            <a:r>
              <a:rPr lang="en-US"/>
              <a:t>Top 5 Customers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F4E7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F4E7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Table'!$J$3</c:f>
              <c:strCache>
                <c:ptCount val="1"/>
                <c:pt idx="0">
                  <c:v>Total</c:v>
                </c:pt>
              </c:strCache>
            </c:strRef>
          </c:tx>
          <c:spPr>
            <a:solidFill>
              <a:schemeClr val="accent1"/>
            </a:solidFill>
            <a:ln>
              <a:noFill/>
            </a:ln>
            <a:effectLst/>
          </c:spPr>
          <c:invertIfNegative val="0"/>
          <c:cat>
            <c:strRef>
              <c:f>'Pivot Table'!$I$4:$I$9</c:f>
              <c:strCache>
                <c:ptCount val="5"/>
                <c:pt idx="0">
                  <c:v>Abhishek</c:v>
                </c:pt>
                <c:pt idx="1">
                  <c:v>Arjun</c:v>
                </c:pt>
                <c:pt idx="2">
                  <c:v>Gaurav</c:v>
                </c:pt>
                <c:pt idx="3">
                  <c:v>Rohit</c:v>
                </c:pt>
                <c:pt idx="4">
                  <c:v>Yogesh</c:v>
                </c:pt>
              </c:strCache>
            </c:strRef>
          </c:cat>
          <c:val>
            <c:numRef>
              <c:f>'Pivot Table'!$J$4:$J$9</c:f>
              <c:numCache>
                <c:formatCode>General</c:formatCode>
                <c:ptCount val="5"/>
                <c:pt idx="0">
                  <c:v>52000</c:v>
                </c:pt>
                <c:pt idx="1">
                  <c:v>55000</c:v>
                </c:pt>
                <c:pt idx="2">
                  <c:v>53000</c:v>
                </c:pt>
                <c:pt idx="3">
                  <c:v>49000</c:v>
                </c:pt>
                <c:pt idx="4">
                  <c:v>37000</c:v>
                </c:pt>
              </c:numCache>
            </c:numRef>
          </c:val>
          <c:extLst>
            <c:ext xmlns:c16="http://schemas.microsoft.com/office/drawing/2014/chart" uri="{C3380CC4-5D6E-409C-BE32-E72D297353CC}">
              <c16:uniqueId val="{00000000-04C9-4F19-BE89-C21013552CE1}"/>
            </c:ext>
          </c:extLst>
        </c:ser>
        <c:dLbls>
          <c:showLegendKey val="0"/>
          <c:showVal val="0"/>
          <c:showCatName val="0"/>
          <c:showSerName val="0"/>
          <c:showPercent val="0"/>
          <c:showBubbleSize val="0"/>
        </c:dLbls>
        <c:gapWidth val="150"/>
        <c:overlap val="100"/>
        <c:axId val="1030052943"/>
        <c:axId val="1030036623"/>
      </c:barChart>
      <c:catAx>
        <c:axId val="1030052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4E79"/>
                </a:solidFill>
                <a:latin typeface="+mn-lt"/>
                <a:ea typeface="+mn-ea"/>
                <a:cs typeface="+mn-cs"/>
              </a:defRPr>
            </a:pPr>
            <a:endParaRPr lang="en-US"/>
          </a:p>
        </c:txPr>
        <c:crossAx val="1030036623"/>
        <c:crosses val="autoZero"/>
        <c:auto val="1"/>
        <c:lblAlgn val="ctr"/>
        <c:lblOffset val="100"/>
        <c:noMultiLvlLbl val="0"/>
      </c:catAx>
      <c:valAx>
        <c:axId val="1030036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4E79"/>
                </a:solidFill>
                <a:latin typeface="+mn-lt"/>
                <a:ea typeface="+mn-ea"/>
                <a:cs typeface="+mn-cs"/>
              </a:defRPr>
            </a:pPr>
            <a:endParaRPr lang="en-US"/>
          </a:p>
        </c:txPr>
        <c:crossAx val="1030052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F4E79"/>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4C7E7"/>
      </a:solidFill>
      <a:round/>
    </a:ln>
    <a:effectLst/>
  </c:spPr>
  <c:txPr>
    <a:bodyPr/>
    <a:lstStyle/>
    <a:p>
      <a:pPr>
        <a:defRPr>
          <a:solidFill>
            <a:srgbClr val="1F4E7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441960</xdr:colOff>
      <xdr:row>0</xdr:row>
      <xdr:rowOff>7620</xdr:rowOff>
    </xdr:from>
    <xdr:to>
      <xdr:col>16</xdr:col>
      <xdr:colOff>358140</xdr:colOff>
      <xdr:row>3</xdr:row>
      <xdr:rowOff>129540</xdr:rowOff>
    </xdr:to>
    <xdr:sp macro="" textlink="">
      <xdr:nvSpPr>
        <xdr:cNvPr id="8" name="TextBox 7">
          <a:extLst>
            <a:ext uri="{FF2B5EF4-FFF2-40B4-BE49-F238E27FC236}">
              <a16:creationId xmlns:a16="http://schemas.microsoft.com/office/drawing/2014/main" id="{4BE1CDBA-72AC-4BAC-B95D-45EF171B0C80}"/>
            </a:ext>
          </a:extLst>
        </xdr:cNvPr>
        <xdr:cNvSpPr txBox="1"/>
      </xdr:nvSpPr>
      <xdr:spPr>
        <a:xfrm rot="10800000" flipV="1">
          <a:off x="4099560" y="7620"/>
          <a:ext cx="6012180" cy="670560"/>
        </a:xfrm>
        <a:prstGeom prst="rect">
          <a:avLst/>
        </a:prstGeom>
        <a:solidFill>
          <a:schemeClr val="lt1"/>
        </a:solidFill>
        <a:ln w="9525" cmpd="sng">
          <a:solidFill>
            <a:srgbClr val="B4C7E7"/>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rgbClr val="1F4E79"/>
              </a:solidFill>
            </a:rPr>
            <a:t>Customer Analysis Dashboard</a:t>
          </a:r>
        </a:p>
        <a:p>
          <a:pPr algn="ctr"/>
          <a:endParaRPr lang="en-IN" sz="2800" b="1">
            <a:solidFill>
              <a:srgbClr val="1F4E79"/>
            </a:solidFill>
          </a:endParaRPr>
        </a:p>
      </xdr:txBody>
    </xdr:sp>
    <xdr:clientData/>
  </xdr:twoCellAnchor>
  <xdr:twoCellAnchor>
    <xdr:from>
      <xdr:col>0</xdr:col>
      <xdr:colOff>137160</xdr:colOff>
      <xdr:row>0</xdr:row>
      <xdr:rowOff>38100</xdr:rowOff>
    </xdr:from>
    <xdr:to>
      <xdr:col>3</xdr:col>
      <xdr:colOff>114300</xdr:colOff>
      <xdr:row>4</xdr:row>
      <xdr:rowOff>30480</xdr:rowOff>
    </xdr:to>
    <xdr:sp macro="" textlink="CustomerData!P3">
      <xdr:nvSpPr>
        <xdr:cNvPr id="10" name="TextBox 9">
          <a:extLst>
            <a:ext uri="{FF2B5EF4-FFF2-40B4-BE49-F238E27FC236}">
              <a16:creationId xmlns:a16="http://schemas.microsoft.com/office/drawing/2014/main" id="{F56FE488-78FA-4621-862E-13DAF5C3399B}"/>
            </a:ext>
          </a:extLst>
        </xdr:cNvPr>
        <xdr:cNvSpPr txBox="1"/>
      </xdr:nvSpPr>
      <xdr:spPr>
        <a:xfrm>
          <a:off x="137160" y="38100"/>
          <a:ext cx="1805940" cy="723900"/>
        </a:xfrm>
        <a:prstGeom prst="rect">
          <a:avLst/>
        </a:prstGeom>
        <a:solidFill>
          <a:schemeClr val="lt1"/>
        </a:solidFill>
        <a:ln w="9525" cmpd="sng">
          <a:solidFill>
            <a:srgbClr val="B4C7E7"/>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rgbClr val="1F4E79"/>
              </a:solidFill>
              <a:latin typeface="Calibri"/>
              <a:ea typeface="Calibri"/>
              <a:cs typeface="Calibri"/>
            </a:rPr>
            <a:t>TOTAL</a:t>
          </a:r>
          <a:r>
            <a:rPr lang="en-US" sz="1400" b="1" i="0" u="none" strike="noStrike" baseline="0">
              <a:solidFill>
                <a:srgbClr val="1F4E79"/>
              </a:solidFill>
              <a:latin typeface="Calibri"/>
              <a:ea typeface="Calibri"/>
              <a:cs typeface="Calibri"/>
            </a:rPr>
            <a:t> REVENUE</a:t>
          </a:r>
          <a:endParaRPr lang="en-US" sz="1400" b="1" i="0" u="none" strike="noStrike">
            <a:solidFill>
              <a:srgbClr val="1F4E79"/>
            </a:solidFill>
            <a:latin typeface="Calibri"/>
            <a:ea typeface="Calibri"/>
            <a:cs typeface="Calibri"/>
          </a:endParaRPr>
        </a:p>
        <a:p>
          <a:pPr algn="ctr"/>
          <a:fld id="{276B9B15-8DCB-49EA-9A3F-3098174B94AC}" type="TxLink">
            <a:rPr lang="en-US" sz="2600" b="1" i="0" u="none" strike="noStrike">
              <a:solidFill>
                <a:srgbClr val="1F4E79"/>
              </a:solidFill>
              <a:latin typeface="Calibri"/>
              <a:ea typeface="Calibri"/>
              <a:cs typeface="Calibri"/>
            </a:rPr>
            <a:pPr algn="ctr"/>
            <a:t>606928</a:t>
          </a:fld>
          <a:endParaRPr lang="en-US" sz="2600" b="1" i="0" u="none" strike="noStrike">
            <a:solidFill>
              <a:srgbClr val="1F4E79"/>
            </a:solidFill>
            <a:latin typeface="Calibri"/>
            <a:ea typeface="Calibri"/>
            <a:cs typeface="Calibri"/>
          </a:endParaRPr>
        </a:p>
      </xdr:txBody>
    </xdr:sp>
    <xdr:clientData/>
  </xdr:twoCellAnchor>
  <xdr:twoCellAnchor>
    <xdr:from>
      <xdr:col>3</xdr:col>
      <xdr:colOff>236220</xdr:colOff>
      <xdr:row>0</xdr:row>
      <xdr:rowOff>53340</xdr:rowOff>
    </xdr:from>
    <xdr:to>
      <xdr:col>6</xdr:col>
      <xdr:colOff>327660</xdr:colOff>
      <xdr:row>4</xdr:row>
      <xdr:rowOff>38100</xdr:rowOff>
    </xdr:to>
    <xdr:sp macro="" textlink="CustomerData!R3">
      <xdr:nvSpPr>
        <xdr:cNvPr id="12" name="TextBox 11">
          <a:extLst>
            <a:ext uri="{FF2B5EF4-FFF2-40B4-BE49-F238E27FC236}">
              <a16:creationId xmlns:a16="http://schemas.microsoft.com/office/drawing/2014/main" id="{49BFD199-CBE0-4C25-BE3B-72A6B367B929}"/>
            </a:ext>
          </a:extLst>
        </xdr:cNvPr>
        <xdr:cNvSpPr txBox="1"/>
      </xdr:nvSpPr>
      <xdr:spPr>
        <a:xfrm>
          <a:off x="2065020" y="53340"/>
          <a:ext cx="1920240" cy="716280"/>
        </a:xfrm>
        <a:prstGeom prst="rect">
          <a:avLst/>
        </a:prstGeom>
        <a:solidFill>
          <a:schemeClr val="lt1"/>
        </a:solidFill>
        <a:ln w="9525" cmpd="sng">
          <a:solidFill>
            <a:srgbClr val="B4C7E7"/>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rgbClr val="1F4E79"/>
              </a:solidFill>
              <a:latin typeface="Calibri"/>
              <a:ea typeface="Calibri"/>
              <a:cs typeface="Calibri"/>
            </a:rPr>
            <a:t>AVG ORDER VALUES</a:t>
          </a:r>
        </a:p>
        <a:p>
          <a:pPr algn="ctr"/>
          <a:fld id="{62C0E6E9-EB98-4059-A3A0-866B95392C3C}" type="TxLink">
            <a:rPr lang="en-US" sz="2600" b="1" i="0" u="none" strike="noStrike">
              <a:solidFill>
                <a:srgbClr val="1F4E79"/>
              </a:solidFill>
              <a:latin typeface="Calibri"/>
              <a:ea typeface="Calibri"/>
              <a:cs typeface="Calibri"/>
            </a:rPr>
            <a:pPr algn="ctr"/>
            <a:t>12138.56</a:t>
          </a:fld>
          <a:endParaRPr lang="en-US" sz="2600" b="1" i="0" u="none" strike="noStrike">
            <a:solidFill>
              <a:srgbClr val="1F4E79"/>
            </a:solidFill>
            <a:latin typeface="Calibri"/>
            <a:ea typeface="Calibri"/>
            <a:cs typeface="Calibri"/>
          </a:endParaRPr>
        </a:p>
      </xdr:txBody>
    </xdr:sp>
    <xdr:clientData/>
  </xdr:twoCellAnchor>
  <xdr:twoCellAnchor>
    <xdr:from>
      <xdr:col>0</xdr:col>
      <xdr:colOff>114300</xdr:colOff>
      <xdr:row>9</xdr:row>
      <xdr:rowOff>15240</xdr:rowOff>
    </xdr:from>
    <xdr:to>
      <xdr:col>7</xdr:col>
      <xdr:colOff>15240</xdr:colOff>
      <xdr:row>24</xdr:row>
      <xdr:rowOff>15240</xdr:rowOff>
    </xdr:to>
    <xdr:graphicFrame macro="">
      <xdr:nvGraphicFramePr>
        <xdr:cNvPr id="14" name="Chart 13">
          <a:extLst>
            <a:ext uri="{FF2B5EF4-FFF2-40B4-BE49-F238E27FC236}">
              <a16:creationId xmlns:a16="http://schemas.microsoft.com/office/drawing/2014/main" id="{17BDEBB9-81A7-410B-86DC-E97F5C2BE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137160</xdr:colOff>
      <xdr:row>9</xdr:row>
      <xdr:rowOff>15240</xdr:rowOff>
    </xdr:from>
    <xdr:to>
      <xdr:col>16</xdr:col>
      <xdr:colOff>464820</xdr:colOff>
      <xdr:row>24</xdr:row>
      <xdr:rowOff>15240</xdr:rowOff>
    </xdr:to>
    <xdr:graphicFrame macro="">
      <xdr:nvGraphicFramePr>
        <xdr:cNvPr id="15" name="Chart 14">
          <a:extLst>
            <a:ext uri="{FF2B5EF4-FFF2-40B4-BE49-F238E27FC236}">
              <a16:creationId xmlns:a16="http://schemas.microsoft.com/office/drawing/2014/main" id="{2B3FB0E4-3B70-4595-91EF-B4FD0973A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45720</xdr:colOff>
      <xdr:row>0</xdr:row>
      <xdr:rowOff>7620</xdr:rowOff>
    </xdr:from>
    <xdr:to>
      <xdr:col>23</xdr:col>
      <xdr:colOff>274320</xdr:colOff>
      <xdr:row>17</xdr:row>
      <xdr:rowOff>114300</xdr:rowOff>
    </xdr:to>
    <xdr:graphicFrame macro="">
      <xdr:nvGraphicFramePr>
        <xdr:cNvPr id="16" name="Chart 15">
          <a:extLst>
            <a:ext uri="{FF2B5EF4-FFF2-40B4-BE49-F238E27FC236}">
              <a16:creationId xmlns:a16="http://schemas.microsoft.com/office/drawing/2014/main" id="{0BA09D8D-861F-45C5-BDE3-8B1459AA4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45720</xdr:colOff>
      <xdr:row>18</xdr:row>
      <xdr:rowOff>38100</xdr:rowOff>
    </xdr:from>
    <xdr:to>
      <xdr:col>23</xdr:col>
      <xdr:colOff>274320</xdr:colOff>
      <xdr:row>39</xdr:row>
      <xdr:rowOff>53340</xdr:rowOff>
    </xdr:to>
    <xdr:graphicFrame macro="">
      <xdr:nvGraphicFramePr>
        <xdr:cNvPr id="17" name="Chart 16">
          <a:extLst>
            <a:ext uri="{FF2B5EF4-FFF2-40B4-BE49-F238E27FC236}">
              <a16:creationId xmlns:a16="http://schemas.microsoft.com/office/drawing/2014/main" id="{E2C5EDC6-9D6F-4DFE-9D0E-EA37C36F3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114300</xdr:colOff>
      <xdr:row>24</xdr:row>
      <xdr:rowOff>53340</xdr:rowOff>
    </xdr:from>
    <xdr:to>
      <xdr:col>16</xdr:col>
      <xdr:colOff>472440</xdr:colOff>
      <xdr:row>39</xdr:row>
      <xdr:rowOff>53340</xdr:rowOff>
    </xdr:to>
    <xdr:graphicFrame macro="">
      <xdr:nvGraphicFramePr>
        <xdr:cNvPr id="20" name="Chart 17">
          <a:extLst>
            <a:ext uri="{FF2B5EF4-FFF2-40B4-BE49-F238E27FC236}">
              <a16:creationId xmlns:a16="http://schemas.microsoft.com/office/drawing/2014/main" id="{9CB510E2-2473-43CC-A254-BC3E771B7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129540</xdr:colOff>
      <xdr:row>4</xdr:row>
      <xdr:rowOff>91440</xdr:rowOff>
    </xdr:from>
    <xdr:to>
      <xdr:col>3</xdr:col>
      <xdr:colOff>114300</xdr:colOff>
      <xdr:row>8</xdr:row>
      <xdr:rowOff>121920</xdr:rowOff>
    </xdr:to>
    <xdr:sp macro="" textlink="CustomerData!Q3">
      <xdr:nvSpPr>
        <xdr:cNvPr id="21" name="TextBox 20">
          <a:extLst>
            <a:ext uri="{FF2B5EF4-FFF2-40B4-BE49-F238E27FC236}">
              <a16:creationId xmlns:a16="http://schemas.microsoft.com/office/drawing/2014/main" id="{11623F68-46AD-474E-B1A6-9A2A5A499B82}"/>
            </a:ext>
          </a:extLst>
        </xdr:cNvPr>
        <xdr:cNvSpPr txBox="1"/>
      </xdr:nvSpPr>
      <xdr:spPr>
        <a:xfrm>
          <a:off x="129540" y="822960"/>
          <a:ext cx="1813560" cy="762000"/>
        </a:xfrm>
        <a:prstGeom prst="rect">
          <a:avLst/>
        </a:prstGeom>
        <a:solidFill>
          <a:schemeClr val="lt1"/>
        </a:solidFill>
        <a:ln w="9525" cmpd="sng">
          <a:solidFill>
            <a:srgbClr val="B4C7E7"/>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rgbClr val="1F4E79"/>
              </a:solidFill>
              <a:latin typeface="Calibri"/>
              <a:ea typeface="Calibri"/>
              <a:cs typeface="Calibri"/>
            </a:rPr>
            <a:t>TOTAL ORDERS</a:t>
          </a:r>
        </a:p>
        <a:p>
          <a:pPr algn="ctr"/>
          <a:fld id="{5E01EF33-E517-4F45-9D2C-E99F8CC7C51C}" type="TxLink">
            <a:rPr lang="en-US" sz="2600" b="1" i="0" u="none" strike="noStrike">
              <a:solidFill>
                <a:srgbClr val="1F4E79"/>
              </a:solidFill>
              <a:latin typeface="Calibri"/>
              <a:ea typeface="Calibri"/>
              <a:cs typeface="Calibri"/>
            </a:rPr>
            <a:pPr algn="ctr"/>
            <a:t>50</a:t>
          </a:fld>
          <a:endParaRPr lang="en-US" sz="2600" b="1" i="0" u="none" strike="noStrike">
            <a:solidFill>
              <a:srgbClr val="1F4E79"/>
            </a:solidFill>
            <a:latin typeface="Calibri"/>
            <a:ea typeface="Calibri"/>
            <a:cs typeface="Calibri"/>
          </a:endParaRPr>
        </a:p>
        <a:p>
          <a:pPr algn="ctr"/>
          <a:endParaRPr lang="en-US" sz="2600" b="1" i="0" u="none" strike="noStrike">
            <a:solidFill>
              <a:srgbClr val="1F4E79"/>
            </a:solidFill>
            <a:latin typeface="Calibri"/>
            <a:ea typeface="Calibri"/>
            <a:cs typeface="Calibri"/>
          </a:endParaRPr>
        </a:p>
      </xdr:txBody>
    </xdr:sp>
    <xdr:clientData/>
  </xdr:twoCellAnchor>
  <xdr:twoCellAnchor editAs="oneCell">
    <xdr:from>
      <xdr:col>6</xdr:col>
      <xdr:colOff>548640</xdr:colOff>
      <xdr:row>4</xdr:row>
      <xdr:rowOff>160021</xdr:rowOff>
    </xdr:from>
    <xdr:to>
      <xdr:col>9</xdr:col>
      <xdr:colOff>548640</xdr:colOff>
      <xdr:row>8</xdr:row>
      <xdr:rowOff>30480</xdr:rowOff>
    </xdr:to>
    <mc:AlternateContent xmlns:mc="http://schemas.openxmlformats.org/markup-compatibility/2006" xmlns:a14="http://schemas.microsoft.com/office/drawing/2010/main">
      <mc:Choice Requires="a14">
        <xdr:graphicFrame macro="">
          <xdr:nvGraphicFramePr>
            <xdr:cNvPr id="22" name="Location">
              <a:extLst>
                <a:ext uri="{FF2B5EF4-FFF2-40B4-BE49-F238E27FC236}">
                  <a16:creationId xmlns:a16="http://schemas.microsoft.com/office/drawing/2014/main" id="{C8C02141-8CAA-4C13-8E04-15E123ADB8A4}"/>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4206240" y="891541"/>
              <a:ext cx="1828800" cy="601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297180</xdr:colOff>
      <xdr:row>4</xdr:row>
      <xdr:rowOff>167641</xdr:rowOff>
    </xdr:from>
    <xdr:to>
      <xdr:col>6</xdr:col>
      <xdr:colOff>297180</xdr:colOff>
      <xdr:row>8</xdr:row>
      <xdr:rowOff>38100</xdr:rowOff>
    </xdr:to>
    <mc:AlternateContent xmlns:mc="http://schemas.openxmlformats.org/markup-compatibility/2006" xmlns:a14="http://schemas.microsoft.com/office/drawing/2010/main">
      <mc:Choice Requires="a14">
        <xdr:graphicFrame macro="">
          <xdr:nvGraphicFramePr>
            <xdr:cNvPr id="23" name="Category">
              <a:extLst>
                <a:ext uri="{FF2B5EF4-FFF2-40B4-BE49-F238E27FC236}">
                  <a16:creationId xmlns:a16="http://schemas.microsoft.com/office/drawing/2014/main" id="{4BAC6E63-33BA-46D9-B223-79701A389F3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25980" y="899161"/>
              <a:ext cx="1828800" cy="601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167640</xdr:colOff>
      <xdr:row>4</xdr:row>
      <xdr:rowOff>144781</xdr:rowOff>
    </xdr:from>
    <xdr:to>
      <xdr:col>13</xdr:col>
      <xdr:colOff>167640</xdr:colOff>
      <xdr:row>8</xdr:row>
      <xdr:rowOff>16765</xdr:rowOff>
    </xdr:to>
    <mc:AlternateContent xmlns:mc="http://schemas.openxmlformats.org/markup-compatibility/2006" xmlns:a14="http://schemas.microsoft.com/office/drawing/2010/main">
      <mc:Choice Requires="a14">
        <xdr:graphicFrame macro="">
          <xdr:nvGraphicFramePr>
            <xdr:cNvPr id="24" name="OrderStatus">
              <a:extLst>
                <a:ext uri="{FF2B5EF4-FFF2-40B4-BE49-F238E27FC236}">
                  <a16:creationId xmlns:a16="http://schemas.microsoft.com/office/drawing/2014/main" id="{BBE1BEA4-E34F-45FB-9BD6-9BC96B78C60A}"/>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6263640" y="876301"/>
              <a:ext cx="1828800" cy="6035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426720</xdr:colOff>
      <xdr:row>4</xdr:row>
      <xdr:rowOff>144781</xdr:rowOff>
    </xdr:from>
    <xdr:to>
      <xdr:col>16</xdr:col>
      <xdr:colOff>426720</xdr:colOff>
      <xdr:row>8</xdr:row>
      <xdr:rowOff>16765</xdr:rowOff>
    </xdr:to>
    <mc:AlternateContent xmlns:mc="http://schemas.openxmlformats.org/markup-compatibility/2006" xmlns:a14="http://schemas.microsoft.com/office/drawing/2010/main">
      <mc:Choice Requires="a14">
        <xdr:graphicFrame macro="">
          <xdr:nvGraphicFramePr>
            <xdr:cNvPr id="26" name="PaymentMethod">
              <a:extLst>
                <a:ext uri="{FF2B5EF4-FFF2-40B4-BE49-F238E27FC236}">
                  <a16:creationId xmlns:a16="http://schemas.microsoft.com/office/drawing/2014/main" id="{824FFA6F-D9C8-478B-BB28-C74B866C72B2}"/>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8351520" y="876301"/>
              <a:ext cx="1828800" cy="6035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 prasath S" refreshedDate="45974.676839467589" createdVersion="8" refreshedVersion="8" minRefreshableVersion="3" recordCount="50" xr:uid="{B66905FB-F787-4AD1-B975-653C98ACAFCD}">
  <cacheSource type="worksheet">
    <worksheetSource ref="A1:M51" sheet="CustomerData"/>
  </cacheSource>
  <cacheFields count="15">
    <cacheField name="CustomerID" numFmtId="0">
      <sharedItems/>
    </cacheField>
    <cacheField name="CustomerName" numFmtId="0">
      <sharedItems count="49">
        <s v="Arjun"/>
        <s v="Priya"/>
        <s v="Rajesh"/>
        <s v="Meena"/>
        <s v="Sunil"/>
        <s v="Kavya"/>
        <s v="Rohit"/>
        <s v="Sneha"/>
        <s v="Deepak"/>
        <s v="Divya"/>
        <s v="Amit"/>
        <s v="Riya"/>
        <s v="Naveen"/>
        <s v="Harsha"/>
        <s v="Sanjay"/>
        <s v="Anita"/>
        <s v="Karthik"/>
        <s v="Divakar"/>
        <s v="Monica"/>
        <s v="Gaurav"/>
        <s v="Anjali"/>
        <s v="Varun"/>
        <s v="Sahana"/>
        <s v="Rakesh"/>
        <s v="Manju"/>
        <s v="Yogesh"/>
        <s v="Sruthi"/>
        <s v="Nitin"/>
        <s v="Preethi"/>
        <s v="Sarath"/>
        <s v="Latha"/>
        <s v="Abhishek"/>
        <s v="Geeta"/>
        <s v="Rohan"/>
        <s v="Keerthi"/>
        <s v="Vikram"/>
        <s v="Shalini"/>
        <s v="Mukesh"/>
        <s v="Akriti"/>
        <s v="Suresh"/>
        <s v="Ajay"/>
        <s v="Nisha"/>
        <s v="Hari"/>
        <s v="Rekha"/>
        <s v="Gopi"/>
        <s v="Swetha"/>
        <s v="Maruthi"/>
        <s v="Anu"/>
        <s v="Raj"/>
      </sharedItems>
    </cacheField>
    <cacheField name="Gender" numFmtId="0">
      <sharedItems count="2">
        <s v="Male"/>
        <s v="Female"/>
      </sharedItems>
    </cacheField>
    <cacheField name="Age" numFmtId="0">
      <sharedItems containsSemiMixedTypes="0" containsString="0" containsNumber="1" containsInteger="1" minValue="22" maxValue="45"/>
    </cacheField>
    <cacheField name="Location" numFmtId="0">
      <sharedItems count="6">
        <s v="Delhi"/>
        <s v="Mumbai"/>
        <s v="Chennai"/>
        <s v="Bangalore"/>
        <s v="Hyderabad"/>
        <s v="Pune"/>
      </sharedItems>
    </cacheField>
    <cacheField name="Product" numFmtId="0">
      <sharedItems/>
    </cacheField>
    <cacheField name="Category" numFmtId="0">
      <sharedItems count="5">
        <s v="Electronics"/>
        <s v="Fashion"/>
        <s v="Accessories"/>
        <s v="Beauty"/>
        <s v="Furniture"/>
      </sharedItems>
    </cacheField>
    <cacheField name="OrderDate" numFmtId="164">
      <sharedItems containsSemiMixedTypes="0" containsNonDate="0" containsDate="1" containsString="0" minDate="2024-01-05T00:00:00" maxDate="2024-06-01T00:00:00" count="50">
        <d v="2024-01-05T00:00:00"/>
        <d v="2024-01-12T00:00:00"/>
        <d v="2024-01-18T00:00:00"/>
        <d v="2024-01-20T00:00:00"/>
        <d v="2024-01-25T00:00:00"/>
        <d v="2024-02-02T00:00:00"/>
        <d v="2024-02-06T00:00:00"/>
        <d v="2024-02-09T00:00:00"/>
        <d v="2024-02-12T00:00:00"/>
        <d v="2024-02-14T00:00:00"/>
        <d v="2024-02-18T00:00:00"/>
        <d v="2024-02-20T00:00:00"/>
        <d v="2024-02-25T00:00:00"/>
        <d v="2024-03-01T00:00:00"/>
        <d v="2024-03-03T00:00:00"/>
        <d v="2024-03-05T00:00:00"/>
        <d v="2024-03-08T00:00:00"/>
        <d v="2024-03-10T00:00:00"/>
        <d v="2024-03-12T00:00:00"/>
        <d v="2024-03-14T00:00:00"/>
        <d v="2024-03-16T00:00:00"/>
        <d v="2024-03-20T00:00:00"/>
        <d v="2024-03-22T00:00:00"/>
        <d v="2024-03-25T00:00:00"/>
        <d v="2024-03-28T00:00:00"/>
        <d v="2024-04-01T00:00:00"/>
        <d v="2024-04-04T00:00:00"/>
        <d v="2024-04-07T00:00:00"/>
        <d v="2024-04-10T00:00:00"/>
        <d v="2024-04-12T00:00:00"/>
        <d v="2024-04-14T00:00:00"/>
        <d v="2024-04-17T00:00:00"/>
        <d v="2024-04-20T00:00:00"/>
        <d v="2024-04-23T00:00:00"/>
        <d v="2024-04-26T00:00:00"/>
        <d v="2024-04-28T00:00:00"/>
        <d v="2024-04-30T00:00:00"/>
        <d v="2024-05-02T00:00:00"/>
        <d v="2024-05-05T00:00:00"/>
        <d v="2024-05-08T00:00:00"/>
        <d v="2024-05-10T00:00:00"/>
        <d v="2024-05-12T00:00:00"/>
        <d v="2024-05-15T00:00:00"/>
        <d v="2024-05-18T00:00:00"/>
        <d v="2024-05-20T00:00:00"/>
        <d v="2024-05-22T00:00:00"/>
        <d v="2024-05-25T00:00:00"/>
        <d v="2024-05-27T00:00:00"/>
        <d v="2024-05-29T00:00:00"/>
        <d v="2024-05-31T00:00:00"/>
      </sharedItems>
      <fieldGroup par="14"/>
    </cacheField>
    <cacheField name="Quantity" numFmtId="0">
      <sharedItems containsSemiMixedTypes="0" containsString="0" containsNumber="1" containsInteger="1" minValue="1" maxValue="4"/>
    </cacheField>
    <cacheField name="UnitPrice" numFmtId="0">
      <sharedItems containsSemiMixedTypes="0" containsString="0" containsNumber="1" containsInteger="1" minValue="299" maxValue="55000"/>
    </cacheField>
    <cacheField name="PaymentMethod" numFmtId="0">
      <sharedItems count="4">
        <s v="UPI"/>
        <s v="Credit Card"/>
        <s v="COD"/>
        <s v="Debit Card"/>
      </sharedItems>
    </cacheField>
    <cacheField name="OrderStatus" numFmtId="0">
      <sharedItems count="3">
        <s v="Delivered"/>
        <s v="Pending"/>
        <s v="Cancelled"/>
      </sharedItems>
    </cacheField>
    <cacheField name="Revenue" numFmtId="0">
      <sharedItems containsSemiMixedTypes="0" containsString="0" containsNumber="1" containsInteger="1" minValue="299" maxValue="55000"/>
    </cacheField>
    <cacheField name="Days (OrderDate)" numFmtId="0" databaseField="0">
      <fieldGroup base="7">
        <rangePr groupBy="days" startDate="2024-01-05T00:00:00" endDate="2024-06-01T00:00:00"/>
        <groupItems count="368">
          <s v="&lt;1/5/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1/2024"/>
        </groupItems>
      </fieldGroup>
    </cacheField>
    <cacheField name="Months (OrderDate)" numFmtId="0" databaseField="0">
      <fieldGroup base="7">
        <rangePr groupBy="months" startDate="2024-01-05T00:00:00" endDate="2024-06-01T00:00:00"/>
        <groupItems count="14">
          <s v="&lt;1/5/2024"/>
          <s v="Jan"/>
          <s v="Feb"/>
          <s v="Mar"/>
          <s v="Apr"/>
          <s v="May"/>
          <s v="Jun"/>
          <s v="Jul"/>
          <s v="Aug"/>
          <s v="Sep"/>
          <s v="Oct"/>
          <s v="Nov"/>
          <s v="Dec"/>
          <s v="&gt;6/1/2024"/>
        </groupItems>
      </fieldGroup>
    </cacheField>
  </cacheFields>
  <extLst>
    <ext xmlns:x14="http://schemas.microsoft.com/office/spreadsheetml/2009/9/main" uri="{725AE2AE-9491-48be-B2B4-4EB974FC3084}">
      <x14:pivotCacheDefinition pivotCacheId="5488556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C001"/>
    <x v="0"/>
    <x v="0"/>
    <n v="27"/>
    <x v="0"/>
    <s v="Laptop"/>
    <x v="0"/>
    <x v="0"/>
    <n v="1"/>
    <n v="55000"/>
    <x v="0"/>
    <x v="0"/>
    <n v="55000"/>
  </r>
  <r>
    <s v="C002"/>
    <x v="1"/>
    <x v="1"/>
    <n v="34"/>
    <x v="1"/>
    <s v="Headphones"/>
    <x v="0"/>
    <x v="1"/>
    <n v="2"/>
    <n v="2500"/>
    <x v="1"/>
    <x v="0"/>
    <n v="5000"/>
  </r>
  <r>
    <s v="C003"/>
    <x v="2"/>
    <x v="0"/>
    <n v="41"/>
    <x v="2"/>
    <s v="Shirt"/>
    <x v="1"/>
    <x v="2"/>
    <n v="3"/>
    <n v="799"/>
    <x v="2"/>
    <x v="1"/>
    <n v="2397"/>
  </r>
  <r>
    <s v="C004"/>
    <x v="3"/>
    <x v="1"/>
    <n v="29"/>
    <x v="3"/>
    <s v="Shoes"/>
    <x v="1"/>
    <x v="3"/>
    <n v="1"/>
    <n v="1999"/>
    <x v="0"/>
    <x v="0"/>
    <n v="1999"/>
  </r>
  <r>
    <s v="C005"/>
    <x v="4"/>
    <x v="0"/>
    <n v="23"/>
    <x v="4"/>
    <s v="Mobile"/>
    <x v="0"/>
    <x v="4"/>
    <n v="1"/>
    <n v="18000"/>
    <x v="1"/>
    <x v="2"/>
    <n v="18000"/>
  </r>
  <r>
    <s v="C006"/>
    <x v="5"/>
    <x v="1"/>
    <n v="31"/>
    <x v="5"/>
    <s v="Watch"/>
    <x v="2"/>
    <x v="5"/>
    <n v="1"/>
    <n v="3500"/>
    <x v="0"/>
    <x v="0"/>
    <n v="3500"/>
  </r>
  <r>
    <s v="C007"/>
    <x v="6"/>
    <x v="0"/>
    <n v="37"/>
    <x v="0"/>
    <s v="Laptop"/>
    <x v="0"/>
    <x v="6"/>
    <n v="1"/>
    <n v="49000"/>
    <x v="3"/>
    <x v="0"/>
    <n v="49000"/>
  </r>
  <r>
    <s v="C008"/>
    <x v="7"/>
    <x v="1"/>
    <n v="25"/>
    <x v="1"/>
    <s v="Earrings"/>
    <x v="1"/>
    <x v="7"/>
    <n v="2"/>
    <n v="599"/>
    <x v="0"/>
    <x v="0"/>
    <n v="1198"/>
  </r>
  <r>
    <s v="C009"/>
    <x v="8"/>
    <x v="0"/>
    <n v="33"/>
    <x v="2"/>
    <s v="Tablet"/>
    <x v="0"/>
    <x v="8"/>
    <n v="1"/>
    <n v="22000"/>
    <x v="1"/>
    <x v="0"/>
    <n v="22000"/>
  </r>
  <r>
    <s v="C010"/>
    <x v="9"/>
    <x v="1"/>
    <n v="28"/>
    <x v="3"/>
    <s v="Handbag"/>
    <x v="1"/>
    <x v="9"/>
    <n v="1"/>
    <n v="1500"/>
    <x v="2"/>
    <x v="1"/>
    <n v="1500"/>
  </r>
  <r>
    <s v="C011"/>
    <x v="10"/>
    <x v="0"/>
    <n v="35"/>
    <x v="4"/>
    <s v="T-shirt"/>
    <x v="1"/>
    <x v="10"/>
    <n v="4"/>
    <n v="499"/>
    <x v="0"/>
    <x v="0"/>
    <n v="1996"/>
  </r>
  <r>
    <s v="C012"/>
    <x v="11"/>
    <x v="1"/>
    <n v="24"/>
    <x v="5"/>
    <s v="Mobile"/>
    <x v="0"/>
    <x v="11"/>
    <n v="1"/>
    <n v="19000"/>
    <x v="1"/>
    <x v="0"/>
    <n v="19000"/>
  </r>
  <r>
    <s v="C013"/>
    <x v="12"/>
    <x v="0"/>
    <n v="30"/>
    <x v="0"/>
    <s v="Watch"/>
    <x v="2"/>
    <x v="12"/>
    <n v="1"/>
    <n v="3200"/>
    <x v="0"/>
    <x v="2"/>
    <n v="3200"/>
  </r>
  <r>
    <s v="C014"/>
    <x v="13"/>
    <x v="1"/>
    <n v="27"/>
    <x v="1"/>
    <s v="Makeup Kit"/>
    <x v="3"/>
    <x v="13"/>
    <n v="1"/>
    <n v="1200"/>
    <x v="0"/>
    <x v="0"/>
    <n v="1200"/>
  </r>
  <r>
    <s v="C015"/>
    <x v="14"/>
    <x v="0"/>
    <n v="45"/>
    <x v="3"/>
    <s v="TV"/>
    <x v="0"/>
    <x v="14"/>
    <n v="1"/>
    <n v="35000"/>
    <x v="2"/>
    <x v="0"/>
    <n v="35000"/>
  </r>
  <r>
    <s v="C016"/>
    <x v="15"/>
    <x v="1"/>
    <n v="38"/>
    <x v="4"/>
    <s v="Perfume"/>
    <x v="3"/>
    <x v="15"/>
    <n v="1"/>
    <n v="1500"/>
    <x v="3"/>
    <x v="0"/>
    <n v="1500"/>
  </r>
  <r>
    <s v="C017"/>
    <x v="16"/>
    <x v="0"/>
    <n v="26"/>
    <x v="5"/>
    <s v="Shoes"/>
    <x v="1"/>
    <x v="16"/>
    <n v="1"/>
    <n v="2500"/>
    <x v="0"/>
    <x v="0"/>
    <n v="2500"/>
  </r>
  <r>
    <s v="C018"/>
    <x v="17"/>
    <x v="0"/>
    <n v="32"/>
    <x v="0"/>
    <s v="Tablet"/>
    <x v="0"/>
    <x v="17"/>
    <n v="1"/>
    <n v="20000"/>
    <x v="1"/>
    <x v="1"/>
    <n v="20000"/>
  </r>
  <r>
    <s v="C019"/>
    <x v="18"/>
    <x v="1"/>
    <n v="29"/>
    <x v="2"/>
    <s v="Office Chair"/>
    <x v="4"/>
    <x v="18"/>
    <n v="1"/>
    <n v="6000"/>
    <x v="0"/>
    <x v="0"/>
    <n v="6000"/>
  </r>
  <r>
    <s v="C020"/>
    <x v="19"/>
    <x v="0"/>
    <n v="31"/>
    <x v="1"/>
    <s v="Laptop"/>
    <x v="0"/>
    <x v="19"/>
    <n v="1"/>
    <n v="53000"/>
    <x v="1"/>
    <x v="0"/>
    <n v="53000"/>
  </r>
  <r>
    <s v="C021"/>
    <x v="20"/>
    <x v="1"/>
    <n v="23"/>
    <x v="3"/>
    <s v="Face Cream"/>
    <x v="3"/>
    <x v="20"/>
    <n v="1"/>
    <n v="799"/>
    <x v="0"/>
    <x v="0"/>
    <n v="799"/>
  </r>
  <r>
    <s v="C022"/>
    <x v="21"/>
    <x v="0"/>
    <n v="36"/>
    <x v="4"/>
    <s v="Keyboard"/>
    <x v="0"/>
    <x v="21"/>
    <n v="1"/>
    <n v="999"/>
    <x v="3"/>
    <x v="0"/>
    <n v="999"/>
  </r>
  <r>
    <s v="C023"/>
    <x v="22"/>
    <x v="1"/>
    <n v="28"/>
    <x v="5"/>
    <s v="Handbag"/>
    <x v="1"/>
    <x v="22"/>
    <n v="1"/>
    <n v="1700"/>
    <x v="2"/>
    <x v="1"/>
    <n v="1700"/>
  </r>
  <r>
    <s v="C024"/>
    <x v="23"/>
    <x v="0"/>
    <n v="40"/>
    <x v="0"/>
    <s v="Mobile"/>
    <x v="0"/>
    <x v="23"/>
    <n v="1"/>
    <n v="21000"/>
    <x v="1"/>
    <x v="0"/>
    <n v="21000"/>
  </r>
  <r>
    <s v="C025"/>
    <x v="24"/>
    <x v="1"/>
    <n v="33"/>
    <x v="1"/>
    <s v="Saree"/>
    <x v="1"/>
    <x v="24"/>
    <n v="1"/>
    <n v="2500"/>
    <x v="0"/>
    <x v="0"/>
    <n v="2500"/>
  </r>
  <r>
    <s v="C026"/>
    <x v="25"/>
    <x v="0"/>
    <n v="29"/>
    <x v="2"/>
    <s v="TV"/>
    <x v="0"/>
    <x v="25"/>
    <n v="1"/>
    <n v="37000"/>
    <x v="3"/>
    <x v="0"/>
    <n v="37000"/>
  </r>
  <r>
    <s v="C027"/>
    <x v="26"/>
    <x v="1"/>
    <n v="26"/>
    <x v="3"/>
    <s v="Lipstick"/>
    <x v="3"/>
    <x v="26"/>
    <n v="2"/>
    <n v="499"/>
    <x v="2"/>
    <x v="0"/>
    <n v="998"/>
  </r>
  <r>
    <s v="C028"/>
    <x v="27"/>
    <x v="0"/>
    <n v="28"/>
    <x v="4"/>
    <s v="Earbuds"/>
    <x v="0"/>
    <x v="27"/>
    <n v="1"/>
    <n v="1999"/>
    <x v="0"/>
    <x v="0"/>
    <n v="1999"/>
  </r>
  <r>
    <s v="C029"/>
    <x v="28"/>
    <x v="1"/>
    <n v="30"/>
    <x v="5"/>
    <s v="Watch"/>
    <x v="2"/>
    <x v="28"/>
    <n v="1"/>
    <n v="3400"/>
    <x v="3"/>
    <x v="0"/>
    <n v="3400"/>
  </r>
  <r>
    <s v="C030"/>
    <x v="29"/>
    <x v="0"/>
    <n v="42"/>
    <x v="0"/>
    <s v="Office Table"/>
    <x v="4"/>
    <x v="29"/>
    <n v="1"/>
    <n v="7500"/>
    <x v="1"/>
    <x v="0"/>
    <n v="7500"/>
  </r>
  <r>
    <s v="C031"/>
    <x v="30"/>
    <x v="1"/>
    <n v="27"/>
    <x v="1"/>
    <s v="T-shirt"/>
    <x v="1"/>
    <x v="30"/>
    <n v="2"/>
    <n v="499"/>
    <x v="0"/>
    <x v="0"/>
    <n v="998"/>
  </r>
  <r>
    <s v="C032"/>
    <x v="31"/>
    <x v="0"/>
    <n v="34"/>
    <x v="2"/>
    <s v="Laptop"/>
    <x v="0"/>
    <x v="31"/>
    <n v="1"/>
    <n v="52000"/>
    <x v="1"/>
    <x v="0"/>
    <n v="52000"/>
  </r>
  <r>
    <s v="C033"/>
    <x v="32"/>
    <x v="1"/>
    <n v="31"/>
    <x v="3"/>
    <s v="Tablet"/>
    <x v="0"/>
    <x v="32"/>
    <n v="1"/>
    <n v="21000"/>
    <x v="0"/>
    <x v="2"/>
    <n v="21000"/>
  </r>
  <r>
    <s v="C034"/>
    <x v="33"/>
    <x v="0"/>
    <n v="29"/>
    <x v="4"/>
    <s v="Shoes"/>
    <x v="1"/>
    <x v="33"/>
    <n v="1"/>
    <n v="2800"/>
    <x v="3"/>
    <x v="0"/>
    <n v="2800"/>
  </r>
  <r>
    <s v="C035"/>
    <x v="34"/>
    <x v="1"/>
    <n v="25"/>
    <x v="5"/>
    <s v="Perfume"/>
    <x v="3"/>
    <x v="34"/>
    <n v="1"/>
    <n v="1200"/>
    <x v="0"/>
    <x v="0"/>
    <n v="1200"/>
  </r>
  <r>
    <s v="C036"/>
    <x v="35"/>
    <x v="0"/>
    <n v="38"/>
    <x v="0"/>
    <s v="Mobile"/>
    <x v="0"/>
    <x v="35"/>
    <n v="1"/>
    <n v="19500"/>
    <x v="1"/>
    <x v="0"/>
    <n v="19500"/>
  </r>
  <r>
    <s v="C037"/>
    <x v="36"/>
    <x v="1"/>
    <n v="22"/>
    <x v="1"/>
    <s v="Face Wash"/>
    <x v="3"/>
    <x v="36"/>
    <n v="1"/>
    <n v="299"/>
    <x v="0"/>
    <x v="0"/>
    <n v="299"/>
  </r>
  <r>
    <s v="C038"/>
    <x v="37"/>
    <x v="0"/>
    <n v="40"/>
    <x v="2"/>
    <s v="TV"/>
    <x v="0"/>
    <x v="37"/>
    <n v="1"/>
    <n v="36000"/>
    <x v="3"/>
    <x v="0"/>
    <n v="36000"/>
  </r>
  <r>
    <s v="C039"/>
    <x v="38"/>
    <x v="1"/>
    <n v="28"/>
    <x v="3"/>
    <s v="Handbag"/>
    <x v="1"/>
    <x v="38"/>
    <n v="1"/>
    <n v="1600"/>
    <x v="2"/>
    <x v="1"/>
    <n v="1600"/>
  </r>
  <r>
    <s v="C040"/>
    <x v="39"/>
    <x v="0"/>
    <n v="35"/>
    <x v="4"/>
    <s v="Watch"/>
    <x v="2"/>
    <x v="39"/>
    <n v="1"/>
    <n v="3300"/>
    <x v="0"/>
    <x v="0"/>
    <n v="3300"/>
  </r>
  <r>
    <s v="C041"/>
    <x v="9"/>
    <x v="1"/>
    <n v="27"/>
    <x v="5"/>
    <s v="Earrings"/>
    <x v="1"/>
    <x v="40"/>
    <n v="1"/>
    <n v="499"/>
    <x v="1"/>
    <x v="0"/>
    <n v="499"/>
  </r>
  <r>
    <s v="C042"/>
    <x v="40"/>
    <x v="0"/>
    <n v="33"/>
    <x v="0"/>
    <s v="Keyboard"/>
    <x v="0"/>
    <x v="41"/>
    <n v="1"/>
    <n v="1100"/>
    <x v="0"/>
    <x v="0"/>
    <n v="1100"/>
  </r>
  <r>
    <s v="C043"/>
    <x v="41"/>
    <x v="1"/>
    <n v="29"/>
    <x v="1"/>
    <s v="Tablet"/>
    <x v="0"/>
    <x v="42"/>
    <n v="1"/>
    <n v="21500"/>
    <x v="2"/>
    <x v="0"/>
    <n v="21500"/>
  </r>
  <r>
    <s v="C044"/>
    <x v="42"/>
    <x v="0"/>
    <n v="37"/>
    <x v="2"/>
    <s v="Office Chair"/>
    <x v="4"/>
    <x v="43"/>
    <n v="1"/>
    <n v="6500"/>
    <x v="0"/>
    <x v="0"/>
    <n v="6500"/>
  </r>
  <r>
    <s v="C045"/>
    <x v="43"/>
    <x v="1"/>
    <n v="24"/>
    <x v="3"/>
    <s v="Makeup Kit"/>
    <x v="3"/>
    <x v="44"/>
    <n v="1"/>
    <n v="1299"/>
    <x v="3"/>
    <x v="0"/>
    <n v="1299"/>
  </r>
  <r>
    <s v="C046"/>
    <x v="44"/>
    <x v="0"/>
    <n v="30"/>
    <x v="4"/>
    <s v="Earbuds"/>
    <x v="0"/>
    <x v="45"/>
    <n v="1"/>
    <n v="2200"/>
    <x v="1"/>
    <x v="0"/>
    <n v="2200"/>
  </r>
  <r>
    <s v="C047"/>
    <x v="45"/>
    <x v="1"/>
    <n v="32"/>
    <x v="5"/>
    <s v="T-shirt"/>
    <x v="1"/>
    <x v="46"/>
    <n v="2"/>
    <n v="499"/>
    <x v="0"/>
    <x v="0"/>
    <n v="998"/>
  </r>
  <r>
    <s v="C048"/>
    <x v="46"/>
    <x v="0"/>
    <n v="41"/>
    <x v="0"/>
    <s v="Mobile"/>
    <x v="0"/>
    <x v="47"/>
    <n v="1"/>
    <n v="18500"/>
    <x v="3"/>
    <x v="0"/>
    <n v="18500"/>
  </r>
  <r>
    <s v="C049"/>
    <x v="47"/>
    <x v="1"/>
    <n v="26"/>
    <x v="1"/>
    <s v="Face Cream"/>
    <x v="3"/>
    <x v="48"/>
    <n v="1"/>
    <n v="750"/>
    <x v="2"/>
    <x v="0"/>
    <n v="750"/>
  </r>
  <r>
    <s v="C050"/>
    <x v="48"/>
    <x v="0"/>
    <n v="39"/>
    <x v="2"/>
    <s v="TV"/>
    <x v="0"/>
    <x v="49"/>
    <n v="1"/>
    <n v="34000"/>
    <x v="1"/>
    <x v="0"/>
    <n v="34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22DC33-51F2-485F-96EE-17FF26C25F2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3:F16" firstHeaderRow="1" firstDataRow="1" firstDataCol="1"/>
  <pivotFields count="15">
    <pivotField showAll="0"/>
    <pivotField showAll="0"/>
    <pivotField axis="axisRow" showAll="0">
      <items count="3">
        <item x="1"/>
        <item x="0"/>
        <item t="default"/>
      </items>
    </pivotField>
    <pivotField showAll="0"/>
    <pivotField showAll="0">
      <items count="7">
        <item x="3"/>
        <item x="2"/>
        <item x="0"/>
        <item x="4"/>
        <item x="1"/>
        <item x="5"/>
        <item t="default"/>
      </items>
    </pivotField>
    <pivotField showAll="0"/>
    <pivotField showAll="0">
      <items count="6">
        <item x="2"/>
        <item x="3"/>
        <item x="0"/>
        <item x="1"/>
        <item x="4"/>
        <item t="default"/>
      </items>
    </pivotField>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items count="5">
        <item x="0"/>
        <item x="2"/>
        <item x="1"/>
        <item x="3"/>
        <item t="default"/>
      </items>
    </pivotField>
    <pivotField showAll="0">
      <items count="4">
        <item x="2"/>
        <item x="0"/>
        <item x="1"/>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
    <i>
      <x/>
    </i>
    <i>
      <x v="1"/>
    </i>
    <i t="grand">
      <x/>
    </i>
  </rowItems>
  <colItems count="1">
    <i/>
  </colItems>
  <dataFields count="1">
    <dataField name="Sum of Revenue" fld="12"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1126F6-1EB2-4E46-A971-2E533943501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F9" firstHeaderRow="1" firstDataRow="1" firstDataCol="1"/>
  <pivotFields count="15">
    <pivotField showAll="0"/>
    <pivotField showAll="0"/>
    <pivotField showAll="0"/>
    <pivotField showAll="0"/>
    <pivotField showAll="0">
      <items count="7">
        <item x="3"/>
        <item x="2"/>
        <item x="0"/>
        <item x="4"/>
        <item x="1"/>
        <item x="5"/>
        <item t="default"/>
      </items>
    </pivotField>
    <pivotField showAll="0"/>
    <pivotField showAll="0">
      <items count="6">
        <item x="2"/>
        <item x="3"/>
        <item x="0"/>
        <item x="1"/>
        <item x="4"/>
        <item t="default"/>
      </items>
    </pivotField>
    <pivotField axis="axisRow"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items count="5">
        <item x="0"/>
        <item x="2"/>
        <item x="1"/>
        <item x="3"/>
        <item t="default"/>
      </items>
    </pivotField>
    <pivotField showAll="0">
      <items count="4">
        <item x="2"/>
        <item x="0"/>
        <item x="1"/>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4"/>
    <field x="7"/>
  </rowFields>
  <rowItems count="6">
    <i>
      <x v="1"/>
    </i>
    <i>
      <x v="2"/>
    </i>
    <i>
      <x v="3"/>
    </i>
    <i>
      <x v="4"/>
    </i>
    <i>
      <x v="5"/>
    </i>
    <i t="grand">
      <x/>
    </i>
  </rowItems>
  <colItems count="1">
    <i/>
  </colItems>
  <dataFields count="1">
    <dataField name="Sum of Revenue"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19DAA1-F00F-41DF-841E-7C695916020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3:B20" firstHeaderRow="1" firstDataRow="1" firstDataCol="1"/>
  <pivotFields count="15">
    <pivotField showAll="0"/>
    <pivotField showAll="0"/>
    <pivotField showAll="0"/>
    <pivotField showAll="0"/>
    <pivotField axis="axisRow" showAll="0">
      <items count="7">
        <item x="3"/>
        <item x="2"/>
        <item x="0"/>
        <item x="4"/>
        <item x="1"/>
        <item x="5"/>
        <item t="default"/>
      </items>
    </pivotField>
    <pivotField showAll="0"/>
    <pivotField showAll="0">
      <items count="6">
        <item x="2"/>
        <item x="3"/>
        <item x="0"/>
        <item x="1"/>
        <item x="4"/>
        <item t="default"/>
      </items>
    </pivotField>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items count="5">
        <item x="0"/>
        <item x="2"/>
        <item x="1"/>
        <item x="3"/>
        <item t="default"/>
      </items>
    </pivotField>
    <pivotField showAll="0">
      <items count="4">
        <item x="2"/>
        <item x="0"/>
        <item x="1"/>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Items count="1">
    <i/>
  </colItems>
  <dataFields count="1">
    <dataField name="Sum of Revenue"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F880D5-4897-4FE0-A11A-656F5D74558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5">
    <pivotField showAll="0"/>
    <pivotField showAll="0"/>
    <pivotField showAll="0"/>
    <pivotField showAll="0"/>
    <pivotField showAll="0">
      <items count="7">
        <item x="3"/>
        <item x="2"/>
        <item x="0"/>
        <item x="4"/>
        <item x="1"/>
        <item x="5"/>
        <item t="default"/>
      </items>
    </pivotField>
    <pivotField showAll="0"/>
    <pivotField axis="axisRow" showAll="0">
      <items count="6">
        <item x="2"/>
        <item x="3"/>
        <item x="0"/>
        <item x="1"/>
        <item x="4"/>
        <item t="default"/>
      </items>
    </pivotField>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items count="5">
        <item x="0"/>
        <item x="2"/>
        <item x="1"/>
        <item x="3"/>
        <item t="default"/>
      </items>
    </pivotField>
    <pivotField showAll="0">
      <items count="4">
        <item x="2"/>
        <item x="0"/>
        <item x="1"/>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Revenue" fld="1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54161F-ADC1-4541-84BD-EAA142B2E366}"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3:J9" firstHeaderRow="1" firstDataRow="1" firstDataCol="1"/>
  <pivotFields count="15">
    <pivotField showAll="0"/>
    <pivotField axis="axisRow" showAll="0" measureFilter="1">
      <items count="50">
        <item x="31"/>
        <item x="40"/>
        <item x="38"/>
        <item x="10"/>
        <item x="15"/>
        <item x="20"/>
        <item x="47"/>
        <item x="0"/>
        <item x="8"/>
        <item x="17"/>
        <item x="9"/>
        <item x="19"/>
        <item x="32"/>
        <item x="44"/>
        <item x="42"/>
        <item x="13"/>
        <item x="16"/>
        <item x="5"/>
        <item x="34"/>
        <item x="30"/>
        <item x="24"/>
        <item x="46"/>
        <item x="3"/>
        <item x="18"/>
        <item x="37"/>
        <item x="12"/>
        <item x="41"/>
        <item x="27"/>
        <item x="28"/>
        <item x="1"/>
        <item x="48"/>
        <item x="2"/>
        <item x="23"/>
        <item x="43"/>
        <item x="11"/>
        <item x="33"/>
        <item x="6"/>
        <item x="22"/>
        <item x="14"/>
        <item x="29"/>
        <item x="36"/>
        <item x="7"/>
        <item x="26"/>
        <item x="4"/>
        <item x="39"/>
        <item x="45"/>
        <item x="21"/>
        <item x="35"/>
        <item x="25"/>
        <item t="default"/>
      </items>
    </pivotField>
    <pivotField showAll="0"/>
    <pivotField showAll="0"/>
    <pivotField showAll="0">
      <items count="7">
        <item x="3"/>
        <item x="2"/>
        <item x="0"/>
        <item x="4"/>
        <item x="1"/>
        <item x="5"/>
        <item t="default"/>
      </items>
    </pivotField>
    <pivotField showAll="0"/>
    <pivotField showAll="0">
      <items count="6">
        <item x="2"/>
        <item x="3"/>
        <item x="0"/>
        <item x="1"/>
        <item x="4"/>
        <item t="default"/>
      </items>
    </pivotField>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items count="5">
        <item x="0"/>
        <item x="2"/>
        <item x="1"/>
        <item x="3"/>
        <item t="default"/>
      </items>
    </pivotField>
    <pivotField showAll="0">
      <items count="4">
        <item x="2"/>
        <item x="0"/>
        <item x="1"/>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i>
    <i>
      <x v="7"/>
    </i>
    <i>
      <x v="11"/>
    </i>
    <i>
      <x v="36"/>
    </i>
    <i>
      <x v="48"/>
    </i>
    <i t="grand">
      <x/>
    </i>
  </rowItems>
  <colItems count="1">
    <i/>
  </colItems>
  <dataFields count="1">
    <dataField name="Sum of Revenue" fld="12"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2230269-D887-48A7-A316-168284BB4FEE}" sourceName="Location">
  <pivotTables>
    <pivotTable tabId="5" name="PivotTable2"/>
    <pivotTable tabId="5" name="PivotTable1"/>
    <pivotTable tabId="5" name="PivotTable3"/>
    <pivotTable tabId="5" name="PivotTable4"/>
    <pivotTable tabId="5" name="PivotTable5"/>
  </pivotTables>
  <data>
    <tabular pivotCacheId="548855689">
      <items count="6">
        <i x="3" s="1"/>
        <i x="2" s="1"/>
        <i x="0" s="1"/>
        <i x="4"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DB35ECE-5C7E-4130-85AC-4CC3E0FB706F}" sourceName="Category">
  <pivotTables>
    <pivotTable tabId="5" name="PivotTable1"/>
    <pivotTable tabId="5" name="PivotTable2"/>
    <pivotTable tabId="5" name="PivotTable3"/>
    <pivotTable tabId="5" name="PivotTable4"/>
    <pivotTable tabId="5" name="PivotTable5"/>
  </pivotTables>
  <data>
    <tabular pivotCacheId="548855689">
      <items count="5">
        <i x="2" s="1"/>
        <i x="3"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BFB1360E-C028-4F4C-978B-AE3E743326F7}" sourceName="OrderStatus">
  <pivotTables>
    <pivotTable tabId="5" name="PivotTable3"/>
    <pivotTable tabId="5" name="PivotTable1"/>
    <pivotTable tabId="5" name="PivotTable2"/>
    <pivotTable tabId="5" name="PivotTable4"/>
    <pivotTable tabId="5" name="PivotTable5"/>
  </pivotTables>
  <data>
    <tabular pivotCacheId="548855689" sortOrder="descending">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FF409504-1F3A-424C-A91F-CDFE0D9BAD65}" sourceName="PaymentMethod">
  <pivotTables>
    <pivotTable tabId="5" name="PivotTable5"/>
    <pivotTable tabId="5" name="PivotTable1"/>
    <pivotTable tabId="5" name="PivotTable2"/>
    <pivotTable tabId="5" name="PivotTable3"/>
    <pivotTable tabId="5" name="PivotTable4"/>
  </pivotTables>
  <data>
    <tabular pivotCacheId="548855689">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BE116BFF-8B8C-4734-84BB-18A83C7A296F}" cache="Slicer_Location" caption="Location" rowHeight="234950"/>
  <slicer name="Category" xr10:uid="{BDA9A30B-7A56-4C10-ABAF-C870F0509CED}" cache="Slicer_Category" caption="Category" rowHeight="234950"/>
  <slicer name="OrderStatus" xr10:uid="{13E86C9E-867E-4BF5-8AB9-50405B7E9752}" cache="Slicer_OrderStatus" caption="OrderStatus" rowHeight="234950"/>
  <slicer name="PaymentMethod" xr10:uid="{A9D2A4A1-8A74-4208-8691-B8EF360F32B5}" cache="Slicer_PaymentMethod" caption="PaymentMethod" startItem="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1D003A-6C15-408D-A5C4-01FDE69F1494}" name="tbl_TotalValues" displayName="tbl_TotalValues" ref="P1:R3" totalsRowShown="0" headerRowDxfId="4">
  <autoFilter ref="P1:R3" xr:uid="{CB1D003A-6C15-408D-A5C4-01FDE69F1494}">
    <filterColumn colId="0" hiddenButton="1"/>
    <filterColumn colId="1" hiddenButton="1"/>
    <filterColumn colId="2" hiddenButton="1"/>
  </autoFilter>
  <tableColumns count="3">
    <tableColumn id="1" xr3:uid="{A0447A78-A25E-4D88-BEE7-A844331C0034}" name="Total Revenue">
      <calculatedColumnFormula>SUM(M1:M50)</calculatedColumnFormula>
    </tableColumn>
    <tableColumn id="2" xr3:uid="{7649E2FC-8660-4984-8644-6FA427263FB9}" name="Total Orders">
      <calculatedColumnFormula>COUNTA(A1:A50)</calculatedColumnFormula>
    </tableColumn>
    <tableColumn id="3" xr3:uid="{4CCF08DB-1FD2-4806-B8F9-997FE1FC3406}" name="Avg Order Values">
      <calculatedColumnFormula>P2/Q2</calculatedColumnFormula>
    </tableColumn>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37F2F7-C64A-4FFD-BE29-0A677C5E1F94}" name="tbl_CustomerData" displayName="tbl_CustomerData" ref="A1:M51" totalsRowShown="0" headerRowDxfId="3" headerRowBorderDxfId="2" tableBorderDxfId="1">
  <autoFilter ref="A1:M51" xr:uid="{BB37F2F7-C64A-4FFD-BE29-0A677C5E1F9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256973A3-86A9-49FB-99FF-E53B9F531478}" name="CustomerID"/>
    <tableColumn id="2" xr3:uid="{E541EDAA-B3DF-43A8-A715-80B23C4C1B6C}" name="CustomerName"/>
    <tableColumn id="3" xr3:uid="{72F1C823-E9A8-4332-B535-451A9A5B5ED4}" name="Gender"/>
    <tableColumn id="4" xr3:uid="{5CBCA081-53A8-4875-9C6C-B30A23E715AE}" name="Age"/>
    <tableColumn id="5" xr3:uid="{6C464C15-4771-45A8-BD7B-C2F6E119F900}" name="Location"/>
    <tableColumn id="6" xr3:uid="{8C098B60-BE1E-4BF4-BAC9-6764E400E037}" name="Product"/>
    <tableColumn id="7" xr3:uid="{8C80A9AA-5824-4098-8399-798C84F710FE}" name="Category"/>
    <tableColumn id="8" xr3:uid="{3BD63021-5B2F-4626-971C-C6844DEC74FC}" name="OrderDate" dataDxfId="0"/>
    <tableColumn id="9" xr3:uid="{C604CC30-CC62-4D2D-AD01-4619AE9CA66B}" name="Quantity"/>
    <tableColumn id="10" xr3:uid="{6878B6D8-68C8-435C-8606-B1C6FF6362C5}" name="UnitPrice"/>
    <tableColumn id="11" xr3:uid="{EF441096-59A0-4FDC-86C1-316F290F8937}" name="PaymentMethod"/>
    <tableColumn id="12" xr3:uid="{69BEC12E-6CC5-4307-BEF1-F0514CCF2B45}" name="OrderStatus"/>
    <tableColumn id="13" xr3:uid="{DD3579AD-9562-44BB-83EE-5D6CCB1AD2AC}" name="Revenue"/>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showGridLines="0" workbookViewId="0">
      <selection activeCell="A4" sqref="A4"/>
    </sheetView>
  </sheetViews>
  <sheetFormatPr defaultRowHeight="14.4" x14ac:dyDescent="0.3"/>
  <cols>
    <col min="1" max="1" width="19.44140625" customWidth="1"/>
    <col min="2" max="2" width="92.109375" customWidth="1"/>
  </cols>
  <sheetData>
    <row r="1" spans="1:2" x14ac:dyDescent="0.3">
      <c r="A1" s="1" t="s">
        <v>153</v>
      </c>
      <c r="B1" s="1" t="s">
        <v>154</v>
      </c>
    </row>
    <row r="2" spans="1:2" x14ac:dyDescent="0.3">
      <c r="A2" s="4" t="s">
        <v>155</v>
      </c>
      <c r="B2" t="s">
        <v>156</v>
      </c>
    </row>
    <row r="4" spans="1:2" x14ac:dyDescent="0.3">
      <c r="A4" s="4" t="s">
        <v>157</v>
      </c>
      <c r="B4" t="s">
        <v>174</v>
      </c>
    </row>
    <row r="5" spans="1:2" x14ac:dyDescent="0.3">
      <c r="B5" t="s">
        <v>175</v>
      </c>
    </row>
    <row r="7" spans="1:2" x14ac:dyDescent="0.3">
      <c r="A7" s="4" t="s">
        <v>158</v>
      </c>
      <c r="B7" t="s">
        <v>159</v>
      </c>
    </row>
    <row r="9" spans="1:2" x14ac:dyDescent="0.3">
      <c r="A9" s="4" t="s">
        <v>160</v>
      </c>
      <c r="B9" t="s">
        <v>161</v>
      </c>
    </row>
    <row r="11" spans="1:2" x14ac:dyDescent="0.3">
      <c r="A11" s="4" t="s">
        <v>162</v>
      </c>
      <c r="B11" t="s">
        <v>182</v>
      </c>
    </row>
    <row r="12" spans="1:2" x14ac:dyDescent="0.3">
      <c r="B12" t="s">
        <v>176</v>
      </c>
    </row>
    <row r="13" spans="1:2" x14ac:dyDescent="0.3">
      <c r="B13" t="s">
        <v>177</v>
      </c>
    </row>
    <row r="14" spans="1:2" x14ac:dyDescent="0.3">
      <c r="B14" t="s">
        <v>178</v>
      </c>
    </row>
    <row r="15" spans="1:2" x14ac:dyDescent="0.3">
      <c r="B15" t="s">
        <v>179</v>
      </c>
    </row>
    <row r="16" spans="1:2" x14ac:dyDescent="0.3">
      <c r="B16" t="s">
        <v>180</v>
      </c>
    </row>
    <row r="17" spans="2:2" x14ac:dyDescent="0.3">
      <c r="B17" t="s">
        <v>181</v>
      </c>
    </row>
    <row r="18" spans="2:2" x14ac:dyDescent="0.3">
      <c r="B18" t="s">
        <v>183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1"/>
  <sheetViews>
    <sheetView showGridLines="0" workbookViewId="0">
      <selection activeCell="B24" sqref="B24"/>
    </sheetView>
  </sheetViews>
  <sheetFormatPr defaultRowHeight="14.4" x14ac:dyDescent="0.3"/>
  <cols>
    <col min="1" max="1" width="15.33203125" bestFit="1" customWidth="1"/>
    <col min="2" max="2" width="18.6640625" bestFit="1" customWidth="1"/>
    <col min="3" max="3" width="11.5546875" bestFit="1" customWidth="1"/>
    <col min="4" max="4" width="8.6640625" bestFit="1" customWidth="1"/>
    <col min="5" max="5" width="12.6640625" bestFit="1" customWidth="1"/>
    <col min="6" max="6" width="12.109375" bestFit="1" customWidth="1"/>
    <col min="7" max="7" width="13" bestFit="1" customWidth="1"/>
    <col min="8" max="8" width="14.109375" bestFit="1" customWidth="1"/>
    <col min="9" max="9" width="12.77734375" bestFit="1" customWidth="1"/>
    <col min="10" max="10" width="13.109375" bestFit="1" customWidth="1"/>
    <col min="11" max="11" width="19.88671875" bestFit="1" customWidth="1"/>
    <col min="12" max="12" width="15.44140625" bestFit="1" customWidth="1"/>
    <col min="13" max="13" width="12.77734375" bestFit="1" customWidth="1"/>
    <col min="15" max="15" width="7.109375" customWidth="1"/>
    <col min="16" max="16" width="14.88671875" customWidth="1"/>
    <col min="17" max="17" width="13.109375" customWidth="1"/>
    <col min="18" max="18" width="17.33203125" customWidth="1"/>
  </cols>
  <sheetData>
    <row r="1" spans="1:18" x14ac:dyDescent="0.3">
      <c r="A1" s="9" t="s">
        <v>0</v>
      </c>
      <c r="B1" s="9" t="s">
        <v>1</v>
      </c>
      <c r="C1" s="9" t="s">
        <v>2</v>
      </c>
      <c r="D1" s="9" t="s">
        <v>3</v>
      </c>
      <c r="E1" s="9" t="s">
        <v>4</v>
      </c>
      <c r="F1" s="9" t="s">
        <v>5</v>
      </c>
      <c r="G1" s="9" t="s">
        <v>6</v>
      </c>
      <c r="H1" s="9" t="s">
        <v>7</v>
      </c>
      <c r="I1" s="9" t="s">
        <v>8</v>
      </c>
      <c r="J1" s="9" t="s">
        <v>9</v>
      </c>
      <c r="K1" s="9" t="s">
        <v>10</v>
      </c>
      <c r="L1" s="9" t="s">
        <v>11</v>
      </c>
      <c r="M1" s="9" t="s">
        <v>12</v>
      </c>
      <c r="P1" s="7" t="s">
        <v>171</v>
      </c>
      <c r="Q1" s="8" t="s">
        <v>172</v>
      </c>
      <c r="R1" s="8" t="s">
        <v>173</v>
      </c>
    </row>
    <row r="2" spans="1:18" x14ac:dyDescent="0.3">
      <c r="A2" t="s">
        <v>13</v>
      </c>
      <c r="B2" t="s">
        <v>14</v>
      </c>
      <c r="C2" t="s">
        <v>15</v>
      </c>
      <c r="D2">
        <v>27</v>
      </c>
      <c r="E2" t="s">
        <v>16</v>
      </c>
      <c r="F2" t="s">
        <v>17</v>
      </c>
      <c r="G2" t="s">
        <v>18</v>
      </c>
      <c r="H2" s="6">
        <v>45296</v>
      </c>
      <c r="I2">
        <v>1</v>
      </c>
      <c r="J2">
        <v>55000</v>
      </c>
      <c r="K2" t="s">
        <v>19</v>
      </c>
      <c r="L2" t="s">
        <v>20</v>
      </c>
      <c r="M2">
        <v>55000</v>
      </c>
    </row>
    <row r="3" spans="1:18" x14ac:dyDescent="0.3">
      <c r="A3" t="s">
        <v>21</v>
      </c>
      <c r="B3" t="s">
        <v>22</v>
      </c>
      <c r="C3" t="s">
        <v>23</v>
      </c>
      <c r="D3">
        <v>34</v>
      </c>
      <c r="E3" t="s">
        <v>24</v>
      </c>
      <c r="F3" t="s">
        <v>25</v>
      </c>
      <c r="G3" t="s">
        <v>18</v>
      </c>
      <c r="H3" s="6">
        <v>45303</v>
      </c>
      <c r="I3">
        <v>2</v>
      </c>
      <c r="J3">
        <v>2500</v>
      </c>
      <c r="K3" t="s">
        <v>26</v>
      </c>
      <c r="L3" t="s">
        <v>20</v>
      </c>
      <c r="M3">
        <v>5000</v>
      </c>
      <c r="P3">
        <f>SUM(M2:M51)</f>
        <v>606928</v>
      </c>
      <c r="Q3">
        <f>COUNTA(A2:A51)</f>
        <v>50</v>
      </c>
      <c r="R3">
        <f>P3/Q3</f>
        <v>12138.56</v>
      </c>
    </row>
    <row r="4" spans="1:18" x14ac:dyDescent="0.3">
      <c r="A4" t="s">
        <v>27</v>
      </c>
      <c r="B4" t="s">
        <v>28</v>
      </c>
      <c r="C4" t="s">
        <v>15</v>
      </c>
      <c r="D4">
        <v>41</v>
      </c>
      <c r="E4" t="s">
        <v>29</v>
      </c>
      <c r="F4" t="s">
        <v>30</v>
      </c>
      <c r="G4" t="s">
        <v>31</v>
      </c>
      <c r="H4" s="6">
        <v>45309</v>
      </c>
      <c r="I4">
        <v>3</v>
      </c>
      <c r="J4">
        <v>799</v>
      </c>
      <c r="K4" t="s">
        <v>32</v>
      </c>
      <c r="L4" t="s">
        <v>33</v>
      </c>
      <c r="M4">
        <v>2397</v>
      </c>
    </row>
    <row r="5" spans="1:18" x14ac:dyDescent="0.3">
      <c r="A5" t="s">
        <v>34</v>
      </c>
      <c r="B5" t="s">
        <v>35</v>
      </c>
      <c r="C5" t="s">
        <v>23</v>
      </c>
      <c r="D5">
        <v>29</v>
      </c>
      <c r="E5" t="s">
        <v>36</v>
      </c>
      <c r="F5" t="s">
        <v>37</v>
      </c>
      <c r="G5" t="s">
        <v>31</v>
      </c>
      <c r="H5" s="6">
        <v>45311</v>
      </c>
      <c r="I5">
        <v>1</v>
      </c>
      <c r="J5">
        <v>1999</v>
      </c>
      <c r="K5" t="s">
        <v>19</v>
      </c>
      <c r="L5" t="s">
        <v>20</v>
      </c>
      <c r="M5">
        <v>1999</v>
      </c>
    </row>
    <row r="6" spans="1:18" x14ac:dyDescent="0.3">
      <c r="A6" t="s">
        <v>38</v>
      </c>
      <c r="B6" t="s">
        <v>39</v>
      </c>
      <c r="C6" t="s">
        <v>15</v>
      </c>
      <c r="D6">
        <v>23</v>
      </c>
      <c r="E6" t="s">
        <v>40</v>
      </c>
      <c r="F6" t="s">
        <v>41</v>
      </c>
      <c r="G6" t="s">
        <v>18</v>
      </c>
      <c r="H6" s="6">
        <v>45316</v>
      </c>
      <c r="I6">
        <v>1</v>
      </c>
      <c r="J6">
        <v>18000</v>
      </c>
      <c r="K6" t="s">
        <v>26</v>
      </c>
      <c r="L6" t="s">
        <v>42</v>
      </c>
      <c r="M6">
        <v>18000</v>
      </c>
    </row>
    <row r="7" spans="1:18" x14ac:dyDescent="0.3">
      <c r="A7" t="s">
        <v>43</v>
      </c>
      <c r="B7" t="s">
        <v>44</v>
      </c>
      <c r="C7" t="s">
        <v>23</v>
      </c>
      <c r="D7">
        <v>31</v>
      </c>
      <c r="E7" t="s">
        <v>45</v>
      </c>
      <c r="F7" t="s">
        <v>46</v>
      </c>
      <c r="G7" t="s">
        <v>47</v>
      </c>
      <c r="H7" s="6">
        <v>45324</v>
      </c>
      <c r="I7">
        <v>1</v>
      </c>
      <c r="J7">
        <v>3500</v>
      </c>
      <c r="K7" t="s">
        <v>19</v>
      </c>
      <c r="L7" t="s">
        <v>20</v>
      </c>
      <c r="M7">
        <v>3500</v>
      </c>
    </row>
    <row r="8" spans="1:18" x14ac:dyDescent="0.3">
      <c r="A8" t="s">
        <v>48</v>
      </c>
      <c r="B8" t="s">
        <v>49</v>
      </c>
      <c r="C8" t="s">
        <v>15</v>
      </c>
      <c r="D8">
        <v>37</v>
      </c>
      <c r="E8" t="s">
        <v>16</v>
      </c>
      <c r="F8" t="s">
        <v>17</v>
      </c>
      <c r="G8" t="s">
        <v>18</v>
      </c>
      <c r="H8" s="6">
        <v>45328</v>
      </c>
      <c r="I8">
        <v>1</v>
      </c>
      <c r="J8">
        <v>49000</v>
      </c>
      <c r="K8" t="s">
        <v>50</v>
      </c>
      <c r="L8" t="s">
        <v>20</v>
      </c>
      <c r="M8">
        <v>49000</v>
      </c>
    </row>
    <row r="9" spans="1:18" x14ac:dyDescent="0.3">
      <c r="A9" t="s">
        <v>51</v>
      </c>
      <c r="B9" t="s">
        <v>52</v>
      </c>
      <c r="C9" t="s">
        <v>23</v>
      </c>
      <c r="D9">
        <v>25</v>
      </c>
      <c r="E9" t="s">
        <v>24</v>
      </c>
      <c r="F9" t="s">
        <v>53</v>
      </c>
      <c r="G9" t="s">
        <v>31</v>
      </c>
      <c r="H9" s="6">
        <v>45331</v>
      </c>
      <c r="I9">
        <v>2</v>
      </c>
      <c r="J9">
        <v>599</v>
      </c>
      <c r="K9" t="s">
        <v>19</v>
      </c>
      <c r="L9" t="s">
        <v>20</v>
      </c>
      <c r="M9">
        <v>1198</v>
      </c>
    </row>
    <row r="10" spans="1:18" x14ac:dyDescent="0.3">
      <c r="A10" t="s">
        <v>54</v>
      </c>
      <c r="B10" t="s">
        <v>55</v>
      </c>
      <c r="C10" t="s">
        <v>15</v>
      </c>
      <c r="D10">
        <v>33</v>
      </c>
      <c r="E10" t="s">
        <v>29</v>
      </c>
      <c r="F10" t="s">
        <v>56</v>
      </c>
      <c r="G10" t="s">
        <v>18</v>
      </c>
      <c r="H10" s="6">
        <v>45334</v>
      </c>
      <c r="I10">
        <v>1</v>
      </c>
      <c r="J10">
        <v>22000</v>
      </c>
      <c r="K10" t="s">
        <v>26</v>
      </c>
      <c r="L10" t="s">
        <v>20</v>
      </c>
      <c r="M10">
        <v>22000</v>
      </c>
    </row>
    <row r="11" spans="1:18" x14ac:dyDescent="0.3">
      <c r="A11" t="s">
        <v>57</v>
      </c>
      <c r="B11" t="s">
        <v>58</v>
      </c>
      <c r="C11" t="s">
        <v>23</v>
      </c>
      <c r="D11">
        <v>28</v>
      </c>
      <c r="E11" t="s">
        <v>36</v>
      </c>
      <c r="F11" t="s">
        <v>59</v>
      </c>
      <c r="G11" t="s">
        <v>31</v>
      </c>
      <c r="H11" s="6">
        <v>45336</v>
      </c>
      <c r="I11">
        <v>1</v>
      </c>
      <c r="J11">
        <v>1500</v>
      </c>
      <c r="K11" t="s">
        <v>32</v>
      </c>
      <c r="L11" t="s">
        <v>33</v>
      </c>
      <c r="M11">
        <v>1500</v>
      </c>
    </row>
    <row r="12" spans="1:18" x14ac:dyDescent="0.3">
      <c r="A12" t="s">
        <v>60</v>
      </c>
      <c r="B12" t="s">
        <v>61</v>
      </c>
      <c r="C12" t="s">
        <v>15</v>
      </c>
      <c r="D12">
        <v>35</v>
      </c>
      <c r="E12" t="s">
        <v>40</v>
      </c>
      <c r="F12" t="s">
        <v>62</v>
      </c>
      <c r="G12" t="s">
        <v>31</v>
      </c>
      <c r="H12" s="6">
        <v>45340</v>
      </c>
      <c r="I12">
        <v>4</v>
      </c>
      <c r="J12">
        <v>499</v>
      </c>
      <c r="K12" t="s">
        <v>19</v>
      </c>
      <c r="L12" t="s">
        <v>20</v>
      </c>
      <c r="M12">
        <v>1996</v>
      </c>
    </row>
    <row r="13" spans="1:18" x14ac:dyDescent="0.3">
      <c r="A13" t="s">
        <v>63</v>
      </c>
      <c r="B13" t="s">
        <v>64</v>
      </c>
      <c r="C13" t="s">
        <v>23</v>
      </c>
      <c r="D13">
        <v>24</v>
      </c>
      <c r="E13" t="s">
        <v>45</v>
      </c>
      <c r="F13" t="s">
        <v>41</v>
      </c>
      <c r="G13" t="s">
        <v>18</v>
      </c>
      <c r="H13" s="6">
        <v>45342</v>
      </c>
      <c r="I13">
        <v>1</v>
      </c>
      <c r="J13">
        <v>19000</v>
      </c>
      <c r="K13" t="s">
        <v>26</v>
      </c>
      <c r="L13" t="s">
        <v>20</v>
      </c>
      <c r="M13">
        <v>19000</v>
      </c>
    </row>
    <row r="14" spans="1:18" x14ac:dyDescent="0.3">
      <c r="A14" t="s">
        <v>65</v>
      </c>
      <c r="B14" t="s">
        <v>66</v>
      </c>
      <c r="C14" t="s">
        <v>15</v>
      </c>
      <c r="D14">
        <v>30</v>
      </c>
      <c r="E14" t="s">
        <v>16</v>
      </c>
      <c r="F14" t="s">
        <v>46</v>
      </c>
      <c r="G14" t="s">
        <v>47</v>
      </c>
      <c r="H14" s="6">
        <v>45347</v>
      </c>
      <c r="I14">
        <v>1</v>
      </c>
      <c r="J14">
        <v>3200</v>
      </c>
      <c r="K14" t="s">
        <v>19</v>
      </c>
      <c r="L14" t="s">
        <v>42</v>
      </c>
      <c r="M14">
        <v>3200</v>
      </c>
    </row>
    <row r="15" spans="1:18" x14ac:dyDescent="0.3">
      <c r="A15" t="s">
        <v>67</v>
      </c>
      <c r="B15" t="s">
        <v>68</v>
      </c>
      <c r="C15" t="s">
        <v>23</v>
      </c>
      <c r="D15">
        <v>27</v>
      </c>
      <c r="E15" t="s">
        <v>24</v>
      </c>
      <c r="F15" t="s">
        <v>69</v>
      </c>
      <c r="G15" t="s">
        <v>70</v>
      </c>
      <c r="H15" s="6">
        <v>45352</v>
      </c>
      <c r="I15">
        <v>1</v>
      </c>
      <c r="J15">
        <v>1200</v>
      </c>
      <c r="K15" t="s">
        <v>19</v>
      </c>
      <c r="L15" t="s">
        <v>20</v>
      </c>
      <c r="M15">
        <v>1200</v>
      </c>
    </row>
    <row r="16" spans="1:18" x14ac:dyDescent="0.3">
      <c r="A16" t="s">
        <v>71</v>
      </c>
      <c r="B16" t="s">
        <v>72</v>
      </c>
      <c r="C16" t="s">
        <v>15</v>
      </c>
      <c r="D16">
        <v>45</v>
      </c>
      <c r="E16" t="s">
        <v>36</v>
      </c>
      <c r="F16" t="s">
        <v>73</v>
      </c>
      <c r="G16" t="s">
        <v>18</v>
      </c>
      <c r="H16" s="6">
        <v>45354</v>
      </c>
      <c r="I16">
        <v>1</v>
      </c>
      <c r="J16">
        <v>35000</v>
      </c>
      <c r="K16" t="s">
        <v>32</v>
      </c>
      <c r="L16" t="s">
        <v>20</v>
      </c>
      <c r="M16">
        <v>35000</v>
      </c>
    </row>
    <row r="17" spans="1:13" x14ac:dyDescent="0.3">
      <c r="A17" t="s">
        <v>74</v>
      </c>
      <c r="B17" t="s">
        <v>75</v>
      </c>
      <c r="C17" t="s">
        <v>23</v>
      </c>
      <c r="D17">
        <v>38</v>
      </c>
      <c r="E17" t="s">
        <v>40</v>
      </c>
      <c r="F17" t="s">
        <v>76</v>
      </c>
      <c r="G17" t="s">
        <v>70</v>
      </c>
      <c r="H17" s="6">
        <v>45356</v>
      </c>
      <c r="I17">
        <v>1</v>
      </c>
      <c r="J17">
        <v>1500</v>
      </c>
      <c r="K17" t="s">
        <v>50</v>
      </c>
      <c r="L17" t="s">
        <v>20</v>
      </c>
      <c r="M17">
        <v>1500</v>
      </c>
    </row>
    <row r="18" spans="1:13" x14ac:dyDescent="0.3">
      <c r="A18" t="s">
        <v>77</v>
      </c>
      <c r="B18" t="s">
        <v>78</v>
      </c>
      <c r="C18" t="s">
        <v>15</v>
      </c>
      <c r="D18">
        <v>26</v>
      </c>
      <c r="E18" t="s">
        <v>45</v>
      </c>
      <c r="F18" t="s">
        <v>37</v>
      </c>
      <c r="G18" t="s">
        <v>31</v>
      </c>
      <c r="H18" s="6">
        <v>45359</v>
      </c>
      <c r="I18">
        <v>1</v>
      </c>
      <c r="J18">
        <v>2500</v>
      </c>
      <c r="K18" t="s">
        <v>19</v>
      </c>
      <c r="L18" t="s">
        <v>20</v>
      </c>
      <c r="M18">
        <v>2500</v>
      </c>
    </row>
    <row r="19" spans="1:13" x14ac:dyDescent="0.3">
      <c r="A19" t="s">
        <v>79</v>
      </c>
      <c r="B19" t="s">
        <v>80</v>
      </c>
      <c r="C19" t="s">
        <v>15</v>
      </c>
      <c r="D19">
        <v>32</v>
      </c>
      <c r="E19" t="s">
        <v>16</v>
      </c>
      <c r="F19" t="s">
        <v>56</v>
      </c>
      <c r="G19" t="s">
        <v>18</v>
      </c>
      <c r="H19" s="6">
        <v>45361</v>
      </c>
      <c r="I19">
        <v>1</v>
      </c>
      <c r="J19">
        <v>20000</v>
      </c>
      <c r="K19" t="s">
        <v>26</v>
      </c>
      <c r="L19" t="s">
        <v>33</v>
      </c>
      <c r="M19">
        <v>20000</v>
      </c>
    </row>
    <row r="20" spans="1:13" x14ac:dyDescent="0.3">
      <c r="A20" t="s">
        <v>81</v>
      </c>
      <c r="B20" t="s">
        <v>82</v>
      </c>
      <c r="C20" t="s">
        <v>23</v>
      </c>
      <c r="D20">
        <v>29</v>
      </c>
      <c r="E20" t="s">
        <v>29</v>
      </c>
      <c r="F20" t="s">
        <v>83</v>
      </c>
      <c r="G20" t="s">
        <v>84</v>
      </c>
      <c r="H20" s="6">
        <v>45363</v>
      </c>
      <c r="I20">
        <v>1</v>
      </c>
      <c r="J20">
        <v>6000</v>
      </c>
      <c r="K20" t="s">
        <v>19</v>
      </c>
      <c r="L20" t="s">
        <v>20</v>
      </c>
      <c r="M20">
        <v>6000</v>
      </c>
    </row>
    <row r="21" spans="1:13" x14ac:dyDescent="0.3">
      <c r="A21" t="s">
        <v>85</v>
      </c>
      <c r="B21" t="s">
        <v>86</v>
      </c>
      <c r="C21" t="s">
        <v>15</v>
      </c>
      <c r="D21">
        <v>31</v>
      </c>
      <c r="E21" t="s">
        <v>24</v>
      </c>
      <c r="F21" t="s">
        <v>17</v>
      </c>
      <c r="G21" t="s">
        <v>18</v>
      </c>
      <c r="H21" s="6">
        <v>45365</v>
      </c>
      <c r="I21">
        <v>1</v>
      </c>
      <c r="J21">
        <v>53000</v>
      </c>
      <c r="K21" t="s">
        <v>26</v>
      </c>
      <c r="L21" t="s">
        <v>20</v>
      </c>
      <c r="M21">
        <v>53000</v>
      </c>
    </row>
    <row r="22" spans="1:13" x14ac:dyDescent="0.3">
      <c r="A22" t="s">
        <v>87</v>
      </c>
      <c r="B22" t="s">
        <v>88</v>
      </c>
      <c r="C22" t="s">
        <v>23</v>
      </c>
      <c r="D22">
        <v>23</v>
      </c>
      <c r="E22" t="s">
        <v>36</v>
      </c>
      <c r="F22" t="s">
        <v>89</v>
      </c>
      <c r="G22" t="s">
        <v>70</v>
      </c>
      <c r="H22" s="6">
        <v>45367</v>
      </c>
      <c r="I22">
        <v>1</v>
      </c>
      <c r="J22">
        <v>799</v>
      </c>
      <c r="K22" t="s">
        <v>19</v>
      </c>
      <c r="L22" t="s">
        <v>20</v>
      </c>
      <c r="M22">
        <v>799</v>
      </c>
    </row>
    <row r="23" spans="1:13" x14ac:dyDescent="0.3">
      <c r="A23" t="s">
        <v>90</v>
      </c>
      <c r="B23" t="s">
        <v>91</v>
      </c>
      <c r="C23" t="s">
        <v>15</v>
      </c>
      <c r="D23">
        <v>36</v>
      </c>
      <c r="E23" t="s">
        <v>40</v>
      </c>
      <c r="F23" t="s">
        <v>92</v>
      </c>
      <c r="G23" t="s">
        <v>18</v>
      </c>
      <c r="H23" s="6">
        <v>45371</v>
      </c>
      <c r="I23">
        <v>1</v>
      </c>
      <c r="J23">
        <v>999</v>
      </c>
      <c r="K23" t="s">
        <v>50</v>
      </c>
      <c r="L23" t="s">
        <v>20</v>
      </c>
      <c r="M23">
        <v>999</v>
      </c>
    </row>
    <row r="24" spans="1:13" x14ac:dyDescent="0.3">
      <c r="A24" t="s">
        <v>93</v>
      </c>
      <c r="B24" t="s">
        <v>94</v>
      </c>
      <c r="C24" t="s">
        <v>23</v>
      </c>
      <c r="D24">
        <v>28</v>
      </c>
      <c r="E24" t="s">
        <v>45</v>
      </c>
      <c r="F24" t="s">
        <v>59</v>
      </c>
      <c r="G24" t="s">
        <v>31</v>
      </c>
      <c r="H24" s="6">
        <v>45373</v>
      </c>
      <c r="I24">
        <v>1</v>
      </c>
      <c r="J24">
        <v>1700</v>
      </c>
      <c r="K24" t="s">
        <v>32</v>
      </c>
      <c r="L24" t="s">
        <v>33</v>
      </c>
      <c r="M24">
        <v>1700</v>
      </c>
    </row>
    <row r="25" spans="1:13" x14ac:dyDescent="0.3">
      <c r="A25" t="s">
        <v>95</v>
      </c>
      <c r="B25" t="s">
        <v>96</v>
      </c>
      <c r="C25" t="s">
        <v>15</v>
      </c>
      <c r="D25">
        <v>40</v>
      </c>
      <c r="E25" t="s">
        <v>16</v>
      </c>
      <c r="F25" t="s">
        <v>41</v>
      </c>
      <c r="G25" t="s">
        <v>18</v>
      </c>
      <c r="H25" s="6">
        <v>45376</v>
      </c>
      <c r="I25">
        <v>1</v>
      </c>
      <c r="J25">
        <v>21000</v>
      </c>
      <c r="K25" t="s">
        <v>26</v>
      </c>
      <c r="L25" t="s">
        <v>20</v>
      </c>
      <c r="M25">
        <v>21000</v>
      </c>
    </row>
    <row r="26" spans="1:13" x14ac:dyDescent="0.3">
      <c r="A26" t="s">
        <v>97</v>
      </c>
      <c r="B26" t="s">
        <v>98</v>
      </c>
      <c r="C26" t="s">
        <v>23</v>
      </c>
      <c r="D26">
        <v>33</v>
      </c>
      <c r="E26" t="s">
        <v>24</v>
      </c>
      <c r="F26" t="s">
        <v>99</v>
      </c>
      <c r="G26" t="s">
        <v>31</v>
      </c>
      <c r="H26" s="6">
        <v>45379</v>
      </c>
      <c r="I26">
        <v>1</v>
      </c>
      <c r="J26">
        <v>2500</v>
      </c>
      <c r="K26" t="s">
        <v>19</v>
      </c>
      <c r="L26" t="s">
        <v>20</v>
      </c>
      <c r="M26">
        <v>2500</v>
      </c>
    </row>
    <row r="27" spans="1:13" x14ac:dyDescent="0.3">
      <c r="A27" t="s">
        <v>100</v>
      </c>
      <c r="B27" t="s">
        <v>101</v>
      </c>
      <c r="C27" t="s">
        <v>15</v>
      </c>
      <c r="D27">
        <v>29</v>
      </c>
      <c r="E27" t="s">
        <v>29</v>
      </c>
      <c r="F27" t="s">
        <v>73</v>
      </c>
      <c r="G27" t="s">
        <v>18</v>
      </c>
      <c r="H27" s="6">
        <v>45383</v>
      </c>
      <c r="I27">
        <v>1</v>
      </c>
      <c r="J27">
        <v>37000</v>
      </c>
      <c r="K27" t="s">
        <v>50</v>
      </c>
      <c r="L27" t="s">
        <v>20</v>
      </c>
      <c r="M27">
        <v>37000</v>
      </c>
    </row>
    <row r="28" spans="1:13" x14ac:dyDescent="0.3">
      <c r="A28" t="s">
        <v>102</v>
      </c>
      <c r="B28" t="s">
        <v>103</v>
      </c>
      <c r="C28" t="s">
        <v>23</v>
      </c>
      <c r="D28">
        <v>26</v>
      </c>
      <c r="E28" t="s">
        <v>36</v>
      </c>
      <c r="F28" t="s">
        <v>104</v>
      </c>
      <c r="G28" t="s">
        <v>70</v>
      </c>
      <c r="H28" s="6">
        <v>45386</v>
      </c>
      <c r="I28">
        <v>2</v>
      </c>
      <c r="J28">
        <v>499</v>
      </c>
      <c r="K28" t="s">
        <v>32</v>
      </c>
      <c r="L28" t="s">
        <v>20</v>
      </c>
      <c r="M28">
        <v>998</v>
      </c>
    </row>
    <row r="29" spans="1:13" x14ac:dyDescent="0.3">
      <c r="A29" t="s">
        <v>105</v>
      </c>
      <c r="B29" t="s">
        <v>106</v>
      </c>
      <c r="C29" t="s">
        <v>15</v>
      </c>
      <c r="D29">
        <v>28</v>
      </c>
      <c r="E29" t="s">
        <v>40</v>
      </c>
      <c r="F29" t="s">
        <v>107</v>
      </c>
      <c r="G29" t="s">
        <v>18</v>
      </c>
      <c r="H29" s="6">
        <v>45389</v>
      </c>
      <c r="I29">
        <v>1</v>
      </c>
      <c r="J29">
        <v>1999</v>
      </c>
      <c r="K29" t="s">
        <v>19</v>
      </c>
      <c r="L29" t="s">
        <v>20</v>
      </c>
      <c r="M29">
        <v>1999</v>
      </c>
    </row>
    <row r="30" spans="1:13" x14ac:dyDescent="0.3">
      <c r="A30" t="s">
        <v>108</v>
      </c>
      <c r="B30" t="s">
        <v>109</v>
      </c>
      <c r="C30" t="s">
        <v>23</v>
      </c>
      <c r="D30">
        <v>30</v>
      </c>
      <c r="E30" t="s">
        <v>45</v>
      </c>
      <c r="F30" t="s">
        <v>46</v>
      </c>
      <c r="G30" t="s">
        <v>47</v>
      </c>
      <c r="H30" s="6">
        <v>45392</v>
      </c>
      <c r="I30">
        <v>1</v>
      </c>
      <c r="J30">
        <v>3400</v>
      </c>
      <c r="K30" t="s">
        <v>50</v>
      </c>
      <c r="L30" t="s">
        <v>20</v>
      </c>
      <c r="M30">
        <v>3400</v>
      </c>
    </row>
    <row r="31" spans="1:13" x14ac:dyDescent="0.3">
      <c r="A31" t="s">
        <v>110</v>
      </c>
      <c r="B31" t="s">
        <v>111</v>
      </c>
      <c r="C31" t="s">
        <v>15</v>
      </c>
      <c r="D31">
        <v>42</v>
      </c>
      <c r="E31" t="s">
        <v>16</v>
      </c>
      <c r="F31" t="s">
        <v>112</v>
      </c>
      <c r="G31" t="s">
        <v>84</v>
      </c>
      <c r="H31" s="6">
        <v>45394</v>
      </c>
      <c r="I31">
        <v>1</v>
      </c>
      <c r="J31">
        <v>7500</v>
      </c>
      <c r="K31" t="s">
        <v>26</v>
      </c>
      <c r="L31" t="s">
        <v>20</v>
      </c>
      <c r="M31">
        <v>7500</v>
      </c>
    </row>
    <row r="32" spans="1:13" x14ac:dyDescent="0.3">
      <c r="A32" t="s">
        <v>113</v>
      </c>
      <c r="B32" t="s">
        <v>114</v>
      </c>
      <c r="C32" t="s">
        <v>23</v>
      </c>
      <c r="D32">
        <v>27</v>
      </c>
      <c r="E32" t="s">
        <v>24</v>
      </c>
      <c r="F32" t="s">
        <v>62</v>
      </c>
      <c r="G32" t="s">
        <v>31</v>
      </c>
      <c r="H32" s="6">
        <v>45396</v>
      </c>
      <c r="I32">
        <v>2</v>
      </c>
      <c r="J32">
        <v>499</v>
      </c>
      <c r="K32" t="s">
        <v>19</v>
      </c>
      <c r="L32" t="s">
        <v>20</v>
      </c>
      <c r="M32">
        <v>998</v>
      </c>
    </row>
    <row r="33" spans="1:13" x14ac:dyDescent="0.3">
      <c r="A33" t="s">
        <v>115</v>
      </c>
      <c r="B33" t="s">
        <v>116</v>
      </c>
      <c r="C33" t="s">
        <v>15</v>
      </c>
      <c r="D33">
        <v>34</v>
      </c>
      <c r="E33" t="s">
        <v>29</v>
      </c>
      <c r="F33" t="s">
        <v>17</v>
      </c>
      <c r="G33" t="s">
        <v>18</v>
      </c>
      <c r="H33" s="6">
        <v>45399</v>
      </c>
      <c r="I33">
        <v>1</v>
      </c>
      <c r="J33">
        <v>52000</v>
      </c>
      <c r="K33" t="s">
        <v>26</v>
      </c>
      <c r="L33" t="s">
        <v>20</v>
      </c>
      <c r="M33">
        <v>52000</v>
      </c>
    </row>
    <row r="34" spans="1:13" x14ac:dyDescent="0.3">
      <c r="A34" t="s">
        <v>117</v>
      </c>
      <c r="B34" t="s">
        <v>118</v>
      </c>
      <c r="C34" t="s">
        <v>23</v>
      </c>
      <c r="D34">
        <v>31</v>
      </c>
      <c r="E34" t="s">
        <v>36</v>
      </c>
      <c r="F34" t="s">
        <v>56</v>
      </c>
      <c r="G34" t="s">
        <v>18</v>
      </c>
      <c r="H34" s="6">
        <v>45402</v>
      </c>
      <c r="I34">
        <v>1</v>
      </c>
      <c r="J34">
        <v>21000</v>
      </c>
      <c r="K34" t="s">
        <v>19</v>
      </c>
      <c r="L34" t="s">
        <v>42</v>
      </c>
      <c r="M34">
        <v>21000</v>
      </c>
    </row>
    <row r="35" spans="1:13" x14ac:dyDescent="0.3">
      <c r="A35" t="s">
        <v>119</v>
      </c>
      <c r="B35" t="s">
        <v>120</v>
      </c>
      <c r="C35" t="s">
        <v>15</v>
      </c>
      <c r="D35">
        <v>29</v>
      </c>
      <c r="E35" t="s">
        <v>40</v>
      </c>
      <c r="F35" t="s">
        <v>37</v>
      </c>
      <c r="G35" t="s">
        <v>31</v>
      </c>
      <c r="H35" s="6">
        <v>45405</v>
      </c>
      <c r="I35">
        <v>1</v>
      </c>
      <c r="J35">
        <v>2800</v>
      </c>
      <c r="K35" t="s">
        <v>50</v>
      </c>
      <c r="L35" t="s">
        <v>20</v>
      </c>
      <c r="M35">
        <v>2800</v>
      </c>
    </row>
    <row r="36" spans="1:13" x14ac:dyDescent="0.3">
      <c r="A36" t="s">
        <v>121</v>
      </c>
      <c r="B36" t="s">
        <v>122</v>
      </c>
      <c r="C36" t="s">
        <v>23</v>
      </c>
      <c r="D36">
        <v>25</v>
      </c>
      <c r="E36" t="s">
        <v>45</v>
      </c>
      <c r="F36" t="s">
        <v>76</v>
      </c>
      <c r="G36" t="s">
        <v>70</v>
      </c>
      <c r="H36" s="6">
        <v>45408</v>
      </c>
      <c r="I36">
        <v>1</v>
      </c>
      <c r="J36">
        <v>1200</v>
      </c>
      <c r="K36" t="s">
        <v>19</v>
      </c>
      <c r="L36" t="s">
        <v>20</v>
      </c>
      <c r="M36">
        <v>1200</v>
      </c>
    </row>
    <row r="37" spans="1:13" x14ac:dyDescent="0.3">
      <c r="A37" t="s">
        <v>123</v>
      </c>
      <c r="B37" t="s">
        <v>124</v>
      </c>
      <c r="C37" t="s">
        <v>15</v>
      </c>
      <c r="D37">
        <v>38</v>
      </c>
      <c r="E37" t="s">
        <v>16</v>
      </c>
      <c r="F37" t="s">
        <v>41</v>
      </c>
      <c r="G37" t="s">
        <v>18</v>
      </c>
      <c r="H37" s="6">
        <v>45410</v>
      </c>
      <c r="I37">
        <v>1</v>
      </c>
      <c r="J37">
        <v>19500</v>
      </c>
      <c r="K37" t="s">
        <v>26</v>
      </c>
      <c r="L37" t="s">
        <v>20</v>
      </c>
      <c r="M37">
        <v>19500</v>
      </c>
    </row>
    <row r="38" spans="1:13" x14ac:dyDescent="0.3">
      <c r="A38" t="s">
        <v>125</v>
      </c>
      <c r="B38" t="s">
        <v>126</v>
      </c>
      <c r="C38" t="s">
        <v>23</v>
      </c>
      <c r="D38">
        <v>22</v>
      </c>
      <c r="E38" t="s">
        <v>24</v>
      </c>
      <c r="F38" t="s">
        <v>127</v>
      </c>
      <c r="G38" t="s">
        <v>70</v>
      </c>
      <c r="H38" s="6">
        <v>45412</v>
      </c>
      <c r="I38">
        <v>1</v>
      </c>
      <c r="J38">
        <v>299</v>
      </c>
      <c r="K38" t="s">
        <v>19</v>
      </c>
      <c r="L38" t="s">
        <v>20</v>
      </c>
      <c r="M38">
        <v>299</v>
      </c>
    </row>
    <row r="39" spans="1:13" x14ac:dyDescent="0.3">
      <c r="A39" t="s">
        <v>128</v>
      </c>
      <c r="B39" t="s">
        <v>129</v>
      </c>
      <c r="C39" t="s">
        <v>15</v>
      </c>
      <c r="D39">
        <v>40</v>
      </c>
      <c r="E39" t="s">
        <v>29</v>
      </c>
      <c r="F39" t="s">
        <v>73</v>
      </c>
      <c r="G39" t="s">
        <v>18</v>
      </c>
      <c r="H39" s="6">
        <v>45414</v>
      </c>
      <c r="I39">
        <v>1</v>
      </c>
      <c r="J39">
        <v>36000</v>
      </c>
      <c r="K39" t="s">
        <v>50</v>
      </c>
      <c r="L39" t="s">
        <v>20</v>
      </c>
      <c r="M39">
        <v>36000</v>
      </c>
    </row>
    <row r="40" spans="1:13" x14ac:dyDescent="0.3">
      <c r="A40" t="s">
        <v>130</v>
      </c>
      <c r="B40" t="s">
        <v>131</v>
      </c>
      <c r="C40" t="s">
        <v>23</v>
      </c>
      <c r="D40">
        <v>28</v>
      </c>
      <c r="E40" t="s">
        <v>36</v>
      </c>
      <c r="F40" t="s">
        <v>59</v>
      </c>
      <c r="G40" t="s">
        <v>31</v>
      </c>
      <c r="H40" s="6">
        <v>45417</v>
      </c>
      <c r="I40">
        <v>1</v>
      </c>
      <c r="J40">
        <v>1600</v>
      </c>
      <c r="K40" t="s">
        <v>32</v>
      </c>
      <c r="L40" t="s">
        <v>33</v>
      </c>
      <c r="M40">
        <v>1600</v>
      </c>
    </row>
    <row r="41" spans="1:13" x14ac:dyDescent="0.3">
      <c r="A41" t="s">
        <v>132</v>
      </c>
      <c r="B41" t="s">
        <v>133</v>
      </c>
      <c r="C41" t="s">
        <v>15</v>
      </c>
      <c r="D41">
        <v>35</v>
      </c>
      <c r="E41" t="s">
        <v>40</v>
      </c>
      <c r="F41" t="s">
        <v>46</v>
      </c>
      <c r="G41" t="s">
        <v>47</v>
      </c>
      <c r="H41" s="6">
        <v>45420</v>
      </c>
      <c r="I41">
        <v>1</v>
      </c>
      <c r="J41">
        <v>3300</v>
      </c>
      <c r="K41" t="s">
        <v>19</v>
      </c>
      <c r="L41" t="s">
        <v>20</v>
      </c>
      <c r="M41">
        <v>3300</v>
      </c>
    </row>
    <row r="42" spans="1:13" x14ac:dyDescent="0.3">
      <c r="A42" t="s">
        <v>134</v>
      </c>
      <c r="B42" t="s">
        <v>58</v>
      </c>
      <c r="C42" t="s">
        <v>23</v>
      </c>
      <c r="D42">
        <v>27</v>
      </c>
      <c r="E42" t="s">
        <v>45</v>
      </c>
      <c r="F42" t="s">
        <v>53</v>
      </c>
      <c r="G42" t="s">
        <v>31</v>
      </c>
      <c r="H42" s="6">
        <v>45422</v>
      </c>
      <c r="I42">
        <v>1</v>
      </c>
      <c r="J42">
        <v>499</v>
      </c>
      <c r="K42" t="s">
        <v>26</v>
      </c>
      <c r="L42" t="s">
        <v>20</v>
      </c>
      <c r="M42">
        <v>499</v>
      </c>
    </row>
    <row r="43" spans="1:13" x14ac:dyDescent="0.3">
      <c r="A43" t="s">
        <v>135</v>
      </c>
      <c r="B43" t="s">
        <v>136</v>
      </c>
      <c r="C43" t="s">
        <v>15</v>
      </c>
      <c r="D43">
        <v>33</v>
      </c>
      <c r="E43" t="s">
        <v>16</v>
      </c>
      <c r="F43" t="s">
        <v>92</v>
      </c>
      <c r="G43" t="s">
        <v>18</v>
      </c>
      <c r="H43" s="6">
        <v>45424</v>
      </c>
      <c r="I43">
        <v>1</v>
      </c>
      <c r="J43">
        <v>1100</v>
      </c>
      <c r="K43" t="s">
        <v>19</v>
      </c>
      <c r="L43" t="s">
        <v>20</v>
      </c>
      <c r="M43">
        <v>1100</v>
      </c>
    </row>
    <row r="44" spans="1:13" x14ac:dyDescent="0.3">
      <c r="A44" t="s">
        <v>137</v>
      </c>
      <c r="B44" t="s">
        <v>138</v>
      </c>
      <c r="C44" t="s">
        <v>23</v>
      </c>
      <c r="D44">
        <v>29</v>
      </c>
      <c r="E44" t="s">
        <v>24</v>
      </c>
      <c r="F44" t="s">
        <v>56</v>
      </c>
      <c r="G44" t="s">
        <v>18</v>
      </c>
      <c r="H44" s="6">
        <v>45427</v>
      </c>
      <c r="I44">
        <v>1</v>
      </c>
      <c r="J44">
        <v>21500</v>
      </c>
      <c r="K44" t="s">
        <v>32</v>
      </c>
      <c r="L44" t="s">
        <v>20</v>
      </c>
      <c r="M44">
        <v>21500</v>
      </c>
    </row>
    <row r="45" spans="1:13" x14ac:dyDescent="0.3">
      <c r="A45" t="s">
        <v>139</v>
      </c>
      <c r="B45" t="s">
        <v>140</v>
      </c>
      <c r="C45" t="s">
        <v>15</v>
      </c>
      <c r="D45">
        <v>37</v>
      </c>
      <c r="E45" t="s">
        <v>29</v>
      </c>
      <c r="F45" t="s">
        <v>83</v>
      </c>
      <c r="G45" t="s">
        <v>84</v>
      </c>
      <c r="H45" s="6">
        <v>45430</v>
      </c>
      <c r="I45">
        <v>1</v>
      </c>
      <c r="J45">
        <v>6500</v>
      </c>
      <c r="K45" t="s">
        <v>19</v>
      </c>
      <c r="L45" t="s">
        <v>20</v>
      </c>
      <c r="M45">
        <v>6500</v>
      </c>
    </row>
    <row r="46" spans="1:13" x14ac:dyDescent="0.3">
      <c r="A46" t="s">
        <v>141</v>
      </c>
      <c r="B46" t="s">
        <v>142</v>
      </c>
      <c r="C46" t="s">
        <v>23</v>
      </c>
      <c r="D46">
        <v>24</v>
      </c>
      <c r="E46" t="s">
        <v>36</v>
      </c>
      <c r="F46" t="s">
        <v>69</v>
      </c>
      <c r="G46" t="s">
        <v>70</v>
      </c>
      <c r="H46" s="6">
        <v>45432</v>
      </c>
      <c r="I46">
        <v>1</v>
      </c>
      <c r="J46">
        <v>1299</v>
      </c>
      <c r="K46" t="s">
        <v>50</v>
      </c>
      <c r="L46" t="s">
        <v>20</v>
      </c>
      <c r="M46">
        <v>1299</v>
      </c>
    </row>
    <row r="47" spans="1:13" x14ac:dyDescent="0.3">
      <c r="A47" t="s">
        <v>143</v>
      </c>
      <c r="B47" t="s">
        <v>144</v>
      </c>
      <c r="C47" t="s">
        <v>15</v>
      </c>
      <c r="D47">
        <v>30</v>
      </c>
      <c r="E47" t="s">
        <v>40</v>
      </c>
      <c r="F47" t="s">
        <v>107</v>
      </c>
      <c r="G47" t="s">
        <v>18</v>
      </c>
      <c r="H47" s="6">
        <v>45434</v>
      </c>
      <c r="I47">
        <v>1</v>
      </c>
      <c r="J47">
        <v>2200</v>
      </c>
      <c r="K47" t="s">
        <v>26</v>
      </c>
      <c r="L47" t="s">
        <v>20</v>
      </c>
      <c r="M47">
        <v>2200</v>
      </c>
    </row>
    <row r="48" spans="1:13" x14ac:dyDescent="0.3">
      <c r="A48" t="s">
        <v>145</v>
      </c>
      <c r="B48" t="s">
        <v>146</v>
      </c>
      <c r="C48" t="s">
        <v>23</v>
      </c>
      <c r="D48">
        <v>32</v>
      </c>
      <c r="E48" t="s">
        <v>45</v>
      </c>
      <c r="F48" t="s">
        <v>62</v>
      </c>
      <c r="G48" t="s">
        <v>31</v>
      </c>
      <c r="H48" s="6">
        <v>45437</v>
      </c>
      <c r="I48">
        <v>2</v>
      </c>
      <c r="J48">
        <v>499</v>
      </c>
      <c r="K48" t="s">
        <v>19</v>
      </c>
      <c r="L48" t="s">
        <v>20</v>
      </c>
      <c r="M48">
        <v>998</v>
      </c>
    </row>
    <row r="49" spans="1:13" x14ac:dyDescent="0.3">
      <c r="A49" t="s">
        <v>147</v>
      </c>
      <c r="B49" t="s">
        <v>148</v>
      </c>
      <c r="C49" t="s">
        <v>15</v>
      </c>
      <c r="D49">
        <v>41</v>
      </c>
      <c r="E49" t="s">
        <v>16</v>
      </c>
      <c r="F49" t="s">
        <v>41</v>
      </c>
      <c r="G49" t="s">
        <v>18</v>
      </c>
      <c r="H49" s="6">
        <v>45439</v>
      </c>
      <c r="I49">
        <v>1</v>
      </c>
      <c r="J49">
        <v>18500</v>
      </c>
      <c r="K49" t="s">
        <v>50</v>
      </c>
      <c r="L49" t="s">
        <v>20</v>
      </c>
      <c r="M49">
        <v>18500</v>
      </c>
    </row>
    <row r="50" spans="1:13" x14ac:dyDescent="0.3">
      <c r="A50" t="s">
        <v>149</v>
      </c>
      <c r="B50" t="s">
        <v>150</v>
      </c>
      <c r="C50" t="s">
        <v>23</v>
      </c>
      <c r="D50">
        <v>26</v>
      </c>
      <c r="E50" t="s">
        <v>24</v>
      </c>
      <c r="F50" t="s">
        <v>89</v>
      </c>
      <c r="G50" t="s">
        <v>70</v>
      </c>
      <c r="H50" s="6">
        <v>45441</v>
      </c>
      <c r="I50">
        <v>1</v>
      </c>
      <c r="J50">
        <v>750</v>
      </c>
      <c r="K50" t="s">
        <v>32</v>
      </c>
      <c r="L50" t="s">
        <v>20</v>
      </c>
      <c r="M50">
        <v>750</v>
      </c>
    </row>
    <row r="51" spans="1:13" x14ac:dyDescent="0.3">
      <c r="A51" t="s">
        <v>151</v>
      </c>
      <c r="B51" t="s">
        <v>152</v>
      </c>
      <c r="C51" t="s">
        <v>15</v>
      </c>
      <c r="D51">
        <v>39</v>
      </c>
      <c r="E51" t="s">
        <v>29</v>
      </c>
      <c r="F51" t="s">
        <v>73</v>
      </c>
      <c r="G51" t="s">
        <v>18</v>
      </c>
      <c r="H51" s="6">
        <v>45443</v>
      </c>
      <c r="I51">
        <v>1</v>
      </c>
      <c r="J51">
        <v>34000</v>
      </c>
      <c r="K51" t="s">
        <v>26</v>
      </c>
      <c r="L51" t="s">
        <v>20</v>
      </c>
      <c r="M51">
        <v>34000</v>
      </c>
    </row>
  </sheetData>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26D82-4074-4E86-90CA-9D44E8C2C6BD}">
  <dimension ref="A3:J20"/>
  <sheetViews>
    <sheetView showGridLines="0" workbookViewId="0">
      <selection activeCell="I3" sqref="I3"/>
    </sheetView>
  </sheetViews>
  <sheetFormatPr defaultRowHeight="14.4" x14ac:dyDescent="0.3"/>
  <cols>
    <col min="1" max="1" width="12.44140625" bestFit="1" customWidth="1"/>
    <col min="2" max="2" width="14.21875" bestFit="1" customWidth="1"/>
    <col min="5" max="5" width="12.44140625" bestFit="1" customWidth="1"/>
    <col min="6" max="6" width="14.21875" bestFit="1" customWidth="1"/>
    <col min="9" max="9" width="12.44140625" bestFit="1" customWidth="1"/>
    <col min="10" max="10" width="14.21875" bestFit="1" customWidth="1"/>
  </cols>
  <sheetData>
    <row r="3" spans="1:10" x14ac:dyDescent="0.3">
      <c r="A3" s="2" t="s">
        <v>163</v>
      </c>
      <c r="B3" t="s">
        <v>165</v>
      </c>
      <c r="E3" s="2" t="s">
        <v>163</v>
      </c>
      <c r="F3" t="s">
        <v>165</v>
      </c>
      <c r="I3" s="2" t="s">
        <v>163</v>
      </c>
      <c r="J3" t="s">
        <v>165</v>
      </c>
    </row>
    <row r="4" spans="1:10" x14ac:dyDescent="0.3">
      <c r="A4" s="3" t="s">
        <v>47</v>
      </c>
      <c r="B4">
        <v>13400</v>
      </c>
      <c r="E4" s="3" t="s">
        <v>166</v>
      </c>
      <c r="F4">
        <v>82396</v>
      </c>
      <c r="I4" s="3" t="s">
        <v>116</v>
      </c>
      <c r="J4">
        <v>52000</v>
      </c>
    </row>
    <row r="5" spans="1:10" x14ac:dyDescent="0.3">
      <c r="A5" s="3" t="s">
        <v>70</v>
      </c>
      <c r="B5">
        <v>8045</v>
      </c>
      <c r="E5" s="3" t="s">
        <v>167</v>
      </c>
      <c r="F5">
        <v>101394</v>
      </c>
      <c r="I5" s="3" t="s">
        <v>14</v>
      </c>
      <c r="J5">
        <v>55000</v>
      </c>
    </row>
    <row r="6" spans="1:10" x14ac:dyDescent="0.3">
      <c r="A6" s="3" t="s">
        <v>18</v>
      </c>
      <c r="B6">
        <v>542798</v>
      </c>
      <c r="E6" s="3" t="s">
        <v>168</v>
      </c>
      <c r="F6">
        <v>146198</v>
      </c>
      <c r="I6" s="3" t="s">
        <v>86</v>
      </c>
      <c r="J6">
        <v>53000</v>
      </c>
    </row>
    <row r="7" spans="1:10" x14ac:dyDescent="0.3">
      <c r="A7" s="3" t="s">
        <v>31</v>
      </c>
      <c r="B7">
        <v>22685</v>
      </c>
      <c r="E7" s="3" t="s">
        <v>169</v>
      </c>
      <c r="F7">
        <v>148694</v>
      </c>
      <c r="I7" s="3" t="s">
        <v>49</v>
      </c>
      <c r="J7">
        <v>49000</v>
      </c>
    </row>
    <row r="8" spans="1:10" x14ac:dyDescent="0.3">
      <c r="A8" s="3" t="s">
        <v>84</v>
      </c>
      <c r="B8">
        <v>20000</v>
      </c>
      <c r="E8" s="3" t="s">
        <v>170</v>
      </c>
      <c r="F8">
        <v>128246</v>
      </c>
      <c r="I8" s="3" t="s">
        <v>101</v>
      </c>
      <c r="J8">
        <v>37000</v>
      </c>
    </row>
    <row r="9" spans="1:10" x14ac:dyDescent="0.3">
      <c r="A9" s="3" t="s">
        <v>164</v>
      </c>
      <c r="B9">
        <v>606928</v>
      </c>
      <c r="E9" s="3" t="s">
        <v>164</v>
      </c>
      <c r="F9">
        <v>606928</v>
      </c>
      <c r="I9" s="3" t="s">
        <v>164</v>
      </c>
      <c r="J9">
        <v>246000</v>
      </c>
    </row>
    <row r="13" spans="1:10" x14ac:dyDescent="0.3">
      <c r="A13" s="2" t="s">
        <v>163</v>
      </c>
      <c r="B13" t="s">
        <v>165</v>
      </c>
      <c r="E13" s="2" t="s">
        <v>163</v>
      </c>
      <c r="F13" t="s">
        <v>165</v>
      </c>
    </row>
    <row r="14" spans="1:10" x14ac:dyDescent="0.3">
      <c r="A14" s="3" t="s">
        <v>36</v>
      </c>
      <c r="B14">
        <v>64195</v>
      </c>
      <c r="E14" s="3" t="s">
        <v>23</v>
      </c>
      <c r="F14">
        <v>100437</v>
      </c>
    </row>
    <row r="15" spans="1:10" x14ac:dyDescent="0.3">
      <c r="A15" s="3" t="s">
        <v>29</v>
      </c>
      <c r="B15">
        <v>195897</v>
      </c>
      <c r="E15" s="3" t="s">
        <v>15</v>
      </c>
      <c r="F15">
        <v>506491</v>
      </c>
    </row>
    <row r="16" spans="1:10" x14ac:dyDescent="0.3">
      <c r="A16" s="3" t="s">
        <v>16</v>
      </c>
      <c r="B16">
        <v>194800</v>
      </c>
      <c r="E16" s="3" t="s">
        <v>164</v>
      </c>
      <c r="F16">
        <v>606928</v>
      </c>
    </row>
    <row r="17" spans="1:2" x14ac:dyDescent="0.3">
      <c r="A17" s="3" t="s">
        <v>40</v>
      </c>
      <c r="B17">
        <v>32794</v>
      </c>
    </row>
    <row r="18" spans="1:2" x14ac:dyDescent="0.3">
      <c r="A18" s="3" t="s">
        <v>24</v>
      </c>
      <c r="B18">
        <v>86445</v>
      </c>
    </row>
    <row r="19" spans="1:2" x14ac:dyDescent="0.3">
      <c r="A19" s="3" t="s">
        <v>45</v>
      </c>
      <c r="B19">
        <v>32797</v>
      </c>
    </row>
    <row r="20" spans="1:2" x14ac:dyDescent="0.3">
      <c r="A20" s="3" t="s">
        <v>164</v>
      </c>
      <c r="B20">
        <v>606928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4A5DB-EDAE-46CF-9D84-FD258E6DA10D}">
  <dimension ref="A1:Y100"/>
  <sheetViews>
    <sheetView showGridLines="0" showRowColHeaders="0" tabSelected="1" workbookViewId="0">
      <selection activeCell="G8" sqref="G8"/>
    </sheetView>
  </sheetViews>
  <sheetFormatPr defaultRowHeight="14.4" x14ac:dyDescent="0.3"/>
  <sheetData>
    <row r="1" spans="1:25" x14ac:dyDescent="0.3">
      <c r="A1" s="5"/>
      <c r="B1" s="5"/>
      <c r="C1" s="5"/>
      <c r="D1" s="5"/>
      <c r="E1" s="5"/>
      <c r="F1" s="5"/>
      <c r="G1" s="5"/>
      <c r="H1" s="5"/>
      <c r="I1" s="5"/>
      <c r="J1" s="5"/>
      <c r="K1" s="5"/>
      <c r="L1" s="5"/>
      <c r="M1" s="5"/>
      <c r="N1" s="5"/>
      <c r="O1" s="5"/>
      <c r="P1" s="5"/>
      <c r="Q1" s="5"/>
      <c r="R1" s="5"/>
      <c r="S1" s="5"/>
      <c r="T1" s="5"/>
      <c r="U1" s="5"/>
      <c r="V1" s="5"/>
      <c r="W1" s="5"/>
      <c r="X1" s="5"/>
      <c r="Y1" s="5"/>
    </row>
    <row r="2" spans="1:25" x14ac:dyDescent="0.3">
      <c r="A2" s="5"/>
      <c r="B2" s="5"/>
      <c r="C2" s="5"/>
      <c r="D2" s="5"/>
      <c r="E2" s="5"/>
      <c r="F2" s="5"/>
      <c r="G2" s="5"/>
      <c r="H2" s="5"/>
      <c r="I2" s="5"/>
      <c r="J2" s="5"/>
      <c r="K2" s="5"/>
      <c r="L2" s="5"/>
      <c r="M2" s="5"/>
      <c r="N2" s="5"/>
      <c r="O2" s="5"/>
      <c r="P2" s="5"/>
      <c r="Q2" s="5"/>
      <c r="R2" s="5"/>
      <c r="S2" s="5"/>
      <c r="T2" s="5"/>
      <c r="U2" s="5"/>
      <c r="V2" s="5"/>
      <c r="W2" s="5"/>
      <c r="X2" s="5"/>
      <c r="Y2" s="5"/>
    </row>
    <row r="3" spans="1:25" x14ac:dyDescent="0.3">
      <c r="A3" s="5"/>
      <c r="B3" s="5"/>
      <c r="C3" s="5"/>
      <c r="D3" s="5"/>
      <c r="E3" s="5"/>
      <c r="F3" s="5"/>
      <c r="G3" s="5"/>
      <c r="H3" s="5"/>
      <c r="I3" s="5"/>
      <c r="J3" s="5"/>
      <c r="K3" s="5"/>
      <c r="L3" s="5"/>
      <c r="M3" s="5"/>
      <c r="N3" s="5"/>
      <c r="O3" s="5"/>
      <c r="P3" s="5"/>
      <c r="Q3" s="5"/>
      <c r="R3" s="5"/>
      <c r="S3" s="5"/>
      <c r="T3" s="5"/>
      <c r="U3" s="5"/>
      <c r="V3" s="5"/>
      <c r="W3" s="5"/>
      <c r="X3" s="5"/>
      <c r="Y3" s="5"/>
    </row>
    <row r="4" spans="1:25" x14ac:dyDescent="0.3">
      <c r="A4" s="5"/>
      <c r="B4" s="5"/>
      <c r="C4" s="5"/>
      <c r="D4" s="5"/>
      <c r="E4" s="5"/>
      <c r="F4" s="5"/>
      <c r="G4" s="5"/>
      <c r="H4" s="5"/>
      <c r="I4" s="5"/>
      <c r="J4" s="5"/>
      <c r="K4" s="5"/>
      <c r="L4" s="5"/>
      <c r="M4" s="5"/>
      <c r="N4" s="5"/>
      <c r="O4" s="5"/>
      <c r="P4" s="5"/>
      <c r="Q4" s="5"/>
      <c r="R4" s="5"/>
      <c r="S4" s="5"/>
      <c r="T4" s="5"/>
      <c r="U4" s="5"/>
      <c r="V4" s="5"/>
      <c r="W4" s="5"/>
      <c r="X4" s="5"/>
      <c r="Y4" s="5"/>
    </row>
    <row r="5" spans="1:25" x14ac:dyDescent="0.3">
      <c r="A5" s="5"/>
      <c r="B5" s="5"/>
      <c r="C5" s="5"/>
      <c r="D5" s="5"/>
      <c r="E5" s="5"/>
      <c r="F5" s="5"/>
      <c r="G5" s="5"/>
      <c r="H5" s="5"/>
      <c r="I5" s="5"/>
      <c r="J5" s="5"/>
      <c r="K5" s="5"/>
      <c r="L5" s="5"/>
      <c r="M5" s="5"/>
      <c r="N5" s="5"/>
      <c r="O5" s="5"/>
      <c r="P5" s="5"/>
      <c r="Q5" s="5"/>
      <c r="R5" s="5"/>
      <c r="S5" s="5"/>
      <c r="T5" s="5"/>
      <c r="U5" s="5"/>
      <c r="V5" s="5"/>
      <c r="W5" s="5"/>
      <c r="X5" s="5"/>
      <c r="Y5" s="5"/>
    </row>
    <row r="6" spans="1:25" x14ac:dyDescent="0.3">
      <c r="A6" s="5"/>
      <c r="B6" s="5"/>
      <c r="C6" s="5"/>
      <c r="D6" s="5"/>
      <c r="E6" s="5"/>
      <c r="F6" s="5"/>
      <c r="G6" s="5"/>
      <c r="H6" s="5"/>
      <c r="I6" s="5"/>
      <c r="J6" s="5"/>
      <c r="K6" s="5"/>
      <c r="L6" s="5"/>
      <c r="M6" s="5"/>
      <c r="N6" s="5"/>
      <c r="O6" s="5"/>
      <c r="P6" s="5"/>
      <c r="Q6" s="5"/>
      <c r="R6" s="5"/>
      <c r="S6" s="5"/>
      <c r="T6" s="5"/>
      <c r="U6" s="5"/>
      <c r="V6" s="5"/>
      <c r="W6" s="5"/>
      <c r="X6" s="5"/>
      <c r="Y6" s="5"/>
    </row>
    <row r="7" spans="1:25" x14ac:dyDescent="0.3">
      <c r="A7" s="5"/>
      <c r="B7" s="5"/>
      <c r="C7" s="5"/>
      <c r="D7" s="5"/>
      <c r="E7" s="5"/>
      <c r="F7" s="5"/>
      <c r="G7" s="5"/>
      <c r="H7" s="5"/>
      <c r="I7" s="5"/>
      <c r="J7" s="5"/>
      <c r="K7" s="5"/>
      <c r="L7" s="5"/>
      <c r="M7" s="5"/>
      <c r="N7" s="5"/>
      <c r="O7" s="5"/>
      <c r="P7" s="5"/>
      <c r="Q7" s="5"/>
      <c r="R7" s="5"/>
      <c r="S7" s="5"/>
      <c r="T7" s="5"/>
      <c r="U7" s="5"/>
      <c r="V7" s="5"/>
      <c r="W7" s="5"/>
      <c r="X7" s="5"/>
      <c r="Y7" s="5"/>
    </row>
    <row r="8" spans="1:25" x14ac:dyDescent="0.3">
      <c r="A8" s="5"/>
      <c r="B8" s="5"/>
      <c r="C8" s="5"/>
      <c r="D8" s="5"/>
      <c r="E8" s="5"/>
      <c r="F8" s="5"/>
      <c r="G8" s="5"/>
      <c r="H8" s="5"/>
      <c r="I8" s="5"/>
      <c r="J8" s="5"/>
      <c r="K8" s="5"/>
      <c r="L8" s="5"/>
      <c r="M8" s="5"/>
      <c r="N8" s="5"/>
      <c r="O8" s="5"/>
      <c r="P8" s="5"/>
      <c r="Q8" s="5"/>
      <c r="R8" s="5"/>
      <c r="S8" s="5"/>
      <c r="T8" s="5"/>
      <c r="U8" s="5"/>
      <c r="V8" s="5"/>
      <c r="W8" s="5"/>
      <c r="X8" s="5"/>
      <c r="Y8" s="5"/>
    </row>
    <row r="9" spans="1:25" x14ac:dyDescent="0.3">
      <c r="A9" s="5"/>
      <c r="B9" s="5"/>
      <c r="C9" s="5"/>
      <c r="D9" s="5"/>
      <c r="E9" s="5"/>
      <c r="F9" s="5"/>
      <c r="G9" s="5"/>
      <c r="H9" s="5"/>
      <c r="I9" s="5"/>
      <c r="J9" s="5"/>
      <c r="K9" s="5"/>
      <c r="L9" s="5"/>
      <c r="M9" s="5"/>
      <c r="N9" s="5"/>
      <c r="O9" s="5"/>
      <c r="P9" s="5"/>
      <c r="Q9" s="5"/>
      <c r="R9" s="5"/>
      <c r="S9" s="5"/>
      <c r="T9" s="5"/>
      <c r="U9" s="5"/>
      <c r="V9" s="5"/>
      <c r="W9" s="5"/>
      <c r="X9" s="5"/>
      <c r="Y9" s="5"/>
    </row>
    <row r="10" spans="1:25" x14ac:dyDescent="0.3">
      <c r="A10" s="5"/>
      <c r="B10" s="5"/>
      <c r="C10" s="5"/>
      <c r="D10" s="5"/>
      <c r="E10" s="5"/>
      <c r="F10" s="5"/>
      <c r="G10" s="5"/>
      <c r="H10" s="5"/>
      <c r="I10" s="5"/>
      <c r="J10" s="5"/>
      <c r="K10" s="5"/>
      <c r="L10" s="5"/>
      <c r="M10" s="5"/>
      <c r="N10" s="5"/>
      <c r="O10" s="5"/>
      <c r="P10" s="5"/>
      <c r="Q10" s="5"/>
      <c r="R10" s="5"/>
      <c r="S10" s="5"/>
      <c r="T10" s="5"/>
      <c r="U10" s="5"/>
      <c r="V10" s="5"/>
      <c r="W10" s="5"/>
      <c r="X10" s="5"/>
      <c r="Y10" s="5"/>
    </row>
    <row r="11" spans="1:25" x14ac:dyDescent="0.3">
      <c r="A11" s="5"/>
      <c r="B11" s="5"/>
      <c r="C11" s="5"/>
      <c r="D11" s="5"/>
      <c r="E11" s="5"/>
      <c r="F11" s="5"/>
      <c r="G11" s="5"/>
      <c r="H11" s="5"/>
      <c r="I11" s="5"/>
      <c r="J11" s="5"/>
      <c r="K11" s="5"/>
      <c r="L11" s="5"/>
      <c r="M11" s="5"/>
      <c r="N11" s="5"/>
      <c r="O11" s="5"/>
      <c r="P11" s="5"/>
      <c r="Q11" s="5"/>
      <c r="R11" s="5"/>
      <c r="S11" s="5"/>
      <c r="T11" s="5"/>
      <c r="U11" s="5"/>
      <c r="V11" s="5"/>
      <c r="W11" s="5"/>
      <c r="X11" s="5"/>
      <c r="Y11" s="5"/>
    </row>
    <row r="12" spans="1:25" x14ac:dyDescent="0.3">
      <c r="A12" s="5"/>
      <c r="B12" s="5"/>
      <c r="C12" s="5"/>
      <c r="D12" s="5"/>
      <c r="E12" s="5"/>
      <c r="F12" s="5"/>
      <c r="G12" s="5"/>
      <c r="H12" s="5"/>
      <c r="I12" s="5"/>
      <c r="J12" s="5"/>
      <c r="K12" s="5"/>
      <c r="L12" s="5"/>
      <c r="M12" s="5"/>
      <c r="N12" s="5"/>
      <c r="O12" s="5"/>
      <c r="P12" s="5"/>
      <c r="Q12" s="5"/>
      <c r="R12" s="5"/>
      <c r="S12" s="5"/>
      <c r="T12" s="5"/>
      <c r="U12" s="5"/>
      <c r="V12" s="5"/>
      <c r="W12" s="5"/>
      <c r="X12" s="5"/>
      <c r="Y12" s="5"/>
    </row>
    <row r="13" spans="1:25" x14ac:dyDescent="0.3">
      <c r="A13" s="5"/>
      <c r="B13" s="5"/>
      <c r="C13" s="5"/>
      <c r="D13" s="5"/>
      <c r="E13" s="5"/>
      <c r="F13" s="5"/>
      <c r="G13" s="5"/>
      <c r="H13" s="5"/>
      <c r="I13" s="5"/>
      <c r="J13" s="5"/>
      <c r="K13" s="5"/>
      <c r="L13" s="5"/>
      <c r="M13" s="5"/>
      <c r="N13" s="5"/>
      <c r="O13" s="5"/>
      <c r="P13" s="5"/>
      <c r="Q13" s="5"/>
      <c r="R13" s="5"/>
      <c r="S13" s="5"/>
      <c r="T13" s="5"/>
      <c r="U13" s="5"/>
      <c r="V13" s="5"/>
      <c r="W13" s="5"/>
      <c r="X13" s="5"/>
      <c r="Y13" s="5"/>
    </row>
    <row r="14" spans="1:25" x14ac:dyDescent="0.3">
      <c r="A14" s="5"/>
      <c r="B14" s="5"/>
      <c r="C14" s="5"/>
      <c r="D14" s="5"/>
      <c r="E14" s="5"/>
      <c r="F14" s="5"/>
      <c r="G14" s="5"/>
      <c r="H14" s="5"/>
      <c r="I14" s="5"/>
      <c r="J14" s="5"/>
      <c r="K14" s="5"/>
      <c r="L14" s="5"/>
      <c r="M14" s="5"/>
      <c r="N14" s="5"/>
      <c r="O14" s="5"/>
      <c r="P14" s="5"/>
      <c r="Q14" s="5"/>
      <c r="R14" s="5"/>
      <c r="S14" s="5"/>
      <c r="T14" s="5"/>
      <c r="U14" s="5"/>
      <c r="V14" s="5"/>
      <c r="W14" s="5"/>
      <c r="X14" s="5"/>
      <c r="Y14" s="5"/>
    </row>
    <row r="15" spans="1:25" x14ac:dyDescent="0.3">
      <c r="A15" s="5"/>
      <c r="B15" s="5"/>
      <c r="C15" s="5"/>
      <c r="D15" s="5"/>
      <c r="E15" s="5"/>
      <c r="F15" s="5"/>
      <c r="G15" s="5"/>
      <c r="H15" s="5"/>
      <c r="I15" s="5"/>
      <c r="J15" s="5"/>
      <c r="K15" s="5"/>
      <c r="L15" s="5"/>
      <c r="M15" s="5"/>
      <c r="N15" s="5"/>
      <c r="O15" s="5"/>
      <c r="P15" s="5"/>
      <c r="Q15" s="5"/>
      <c r="R15" s="5"/>
      <c r="S15" s="5"/>
      <c r="T15" s="5"/>
      <c r="U15" s="5"/>
      <c r="V15" s="5"/>
      <c r="W15" s="5"/>
      <c r="X15" s="5"/>
      <c r="Y15" s="5"/>
    </row>
    <row r="16" spans="1:25" x14ac:dyDescent="0.3">
      <c r="A16" s="5"/>
      <c r="B16" s="5"/>
      <c r="C16" s="5"/>
      <c r="D16" s="5"/>
      <c r="E16" s="5"/>
      <c r="F16" s="5"/>
      <c r="G16" s="5"/>
      <c r="H16" s="5"/>
      <c r="I16" s="5"/>
      <c r="J16" s="5"/>
      <c r="K16" s="5"/>
      <c r="L16" s="5"/>
      <c r="M16" s="5"/>
      <c r="N16" s="5"/>
      <c r="O16" s="5"/>
      <c r="P16" s="5"/>
      <c r="Q16" s="5"/>
      <c r="R16" s="5"/>
      <c r="S16" s="5"/>
      <c r="T16" s="5"/>
      <c r="U16" s="5"/>
      <c r="V16" s="5"/>
      <c r="W16" s="5"/>
      <c r="X16" s="5"/>
      <c r="Y16" s="5"/>
    </row>
    <row r="17" spans="1:25" x14ac:dyDescent="0.3">
      <c r="A17" s="5"/>
      <c r="B17" s="5"/>
      <c r="C17" s="5"/>
      <c r="D17" s="5"/>
      <c r="E17" s="5"/>
      <c r="F17" s="5"/>
      <c r="G17" s="5"/>
      <c r="H17" s="5"/>
      <c r="I17" s="5"/>
      <c r="J17" s="5"/>
      <c r="K17" s="5"/>
      <c r="L17" s="5"/>
      <c r="M17" s="5"/>
      <c r="N17" s="5"/>
      <c r="O17" s="5"/>
      <c r="P17" s="5"/>
      <c r="Q17" s="5"/>
      <c r="R17" s="5"/>
      <c r="S17" s="5"/>
      <c r="T17" s="5"/>
      <c r="U17" s="5"/>
      <c r="V17" s="5"/>
      <c r="W17" s="5"/>
      <c r="X17" s="5"/>
      <c r="Y17" s="5"/>
    </row>
    <row r="18" spans="1:25" x14ac:dyDescent="0.3">
      <c r="A18" s="5"/>
      <c r="B18" s="5"/>
      <c r="C18" s="5"/>
      <c r="D18" s="5"/>
      <c r="E18" s="5"/>
      <c r="F18" s="5"/>
      <c r="G18" s="5"/>
      <c r="H18" s="5"/>
      <c r="I18" s="5"/>
      <c r="J18" s="5"/>
      <c r="K18" s="5"/>
      <c r="L18" s="5"/>
      <c r="M18" s="5"/>
      <c r="N18" s="5"/>
      <c r="O18" s="5"/>
      <c r="P18" s="5"/>
      <c r="Q18" s="5"/>
      <c r="R18" s="5"/>
      <c r="S18" s="5"/>
      <c r="T18" s="5"/>
      <c r="U18" s="5"/>
      <c r="V18" s="5"/>
      <c r="W18" s="5"/>
      <c r="X18" s="5"/>
      <c r="Y18" s="5"/>
    </row>
    <row r="19" spans="1:25" x14ac:dyDescent="0.3">
      <c r="A19" s="5"/>
      <c r="B19" s="5"/>
      <c r="C19" s="5"/>
      <c r="D19" s="5"/>
      <c r="E19" s="5"/>
      <c r="F19" s="5"/>
      <c r="G19" s="5"/>
      <c r="H19" s="5"/>
      <c r="I19" s="5"/>
      <c r="J19" s="5"/>
      <c r="K19" s="5"/>
      <c r="L19" s="5"/>
      <c r="M19" s="5"/>
      <c r="N19" s="5"/>
      <c r="O19" s="5"/>
      <c r="P19" s="5"/>
      <c r="Q19" s="5"/>
      <c r="R19" s="5"/>
      <c r="S19" s="5"/>
      <c r="T19" s="5"/>
      <c r="U19" s="5"/>
      <c r="V19" s="5"/>
      <c r="W19" s="5"/>
      <c r="X19" s="5"/>
      <c r="Y19" s="5"/>
    </row>
    <row r="20" spans="1:25" x14ac:dyDescent="0.3">
      <c r="A20" s="5"/>
      <c r="B20" s="5"/>
      <c r="C20" s="5"/>
      <c r="D20" s="5"/>
      <c r="E20" s="5"/>
      <c r="F20" s="5"/>
      <c r="G20" s="5"/>
      <c r="H20" s="5"/>
      <c r="I20" s="5"/>
      <c r="J20" s="5"/>
      <c r="K20" s="5"/>
      <c r="L20" s="5"/>
      <c r="M20" s="5"/>
      <c r="N20" s="5"/>
      <c r="O20" s="5"/>
      <c r="P20" s="5"/>
      <c r="Q20" s="5"/>
      <c r="R20" s="5"/>
      <c r="S20" s="5"/>
      <c r="T20" s="5"/>
      <c r="U20" s="5"/>
      <c r="V20" s="5"/>
      <c r="W20" s="5"/>
      <c r="X20" s="5"/>
      <c r="Y20" s="5"/>
    </row>
    <row r="21" spans="1:25" x14ac:dyDescent="0.3">
      <c r="A21" s="5"/>
      <c r="B21" s="5"/>
      <c r="C21" s="5"/>
      <c r="D21" s="5"/>
      <c r="E21" s="5"/>
      <c r="F21" s="5"/>
      <c r="G21" s="5"/>
      <c r="H21" s="5"/>
      <c r="I21" s="5"/>
      <c r="J21" s="5"/>
      <c r="K21" s="5"/>
      <c r="L21" s="5"/>
      <c r="M21" s="5"/>
      <c r="N21" s="5"/>
      <c r="O21" s="5"/>
      <c r="P21" s="5"/>
      <c r="Q21" s="5"/>
      <c r="R21" s="5"/>
      <c r="S21" s="5"/>
      <c r="T21" s="5"/>
      <c r="U21" s="5"/>
      <c r="V21" s="5"/>
      <c r="W21" s="5"/>
      <c r="X21" s="5"/>
      <c r="Y21" s="5"/>
    </row>
    <row r="22" spans="1:25" x14ac:dyDescent="0.3">
      <c r="A22" s="5"/>
      <c r="B22" s="5"/>
      <c r="C22" s="5"/>
      <c r="D22" s="5"/>
      <c r="E22" s="5"/>
      <c r="F22" s="5"/>
      <c r="G22" s="5"/>
      <c r="H22" s="5"/>
      <c r="I22" s="5"/>
      <c r="J22" s="5"/>
      <c r="K22" s="5"/>
      <c r="L22" s="5"/>
      <c r="M22" s="5"/>
      <c r="N22" s="5"/>
      <c r="O22" s="5"/>
      <c r="P22" s="5"/>
      <c r="Q22" s="5"/>
      <c r="R22" s="5"/>
      <c r="S22" s="5"/>
      <c r="T22" s="5"/>
      <c r="U22" s="5"/>
      <c r="V22" s="5"/>
      <c r="W22" s="5"/>
      <c r="X22" s="5"/>
      <c r="Y22" s="5"/>
    </row>
    <row r="23" spans="1:25" x14ac:dyDescent="0.3">
      <c r="A23" s="5"/>
      <c r="B23" s="5"/>
      <c r="C23" s="5"/>
      <c r="D23" s="5"/>
      <c r="E23" s="5"/>
      <c r="F23" s="5"/>
      <c r="G23" s="5"/>
      <c r="H23" s="5"/>
      <c r="I23" s="5"/>
      <c r="J23" s="5"/>
      <c r="K23" s="5"/>
      <c r="L23" s="5"/>
      <c r="M23" s="5"/>
      <c r="N23" s="5"/>
      <c r="O23" s="5"/>
      <c r="P23" s="5"/>
      <c r="Q23" s="5"/>
      <c r="R23" s="5"/>
      <c r="S23" s="5"/>
      <c r="T23" s="5"/>
      <c r="U23" s="5"/>
      <c r="V23" s="5"/>
      <c r="W23" s="5"/>
      <c r="X23" s="5"/>
      <c r="Y23" s="5"/>
    </row>
    <row r="24" spans="1:25" x14ac:dyDescent="0.3">
      <c r="A24" s="5"/>
      <c r="B24" s="5"/>
      <c r="C24" s="5"/>
      <c r="D24" s="5"/>
      <c r="E24" s="5"/>
      <c r="F24" s="5"/>
      <c r="G24" s="5"/>
      <c r="H24" s="5"/>
      <c r="I24" s="5"/>
      <c r="J24" s="5"/>
      <c r="K24" s="5"/>
      <c r="L24" s="5"/>
      <c r="M24" s="5"/>
      <c r="N24" s="5"/>
      <c r="O24" s="5"/>
      <c r="P24" s="5"/>
      <c r="Q24" s="5"/>
      <c r="R24" s="5"/>
      <c r="S24" s="5"/>
      <c r="T24" s="5"/>
      <c r="U24" s="5"/>
      <c r="V24" s="5"/>
      <c r="W24" s="5"/>
      <c r="X24" s="5"/>
      <c r="Y24" s="5"/>
    </row>
    <row r="25" spans="1:25" x14ac:dyDescent="0.3">
      <c r="A25" s="5"/>
      <c r="B25" s="5"/>
      <c r="C25" s="5"/>
      <c r="D25" s="5"/>
      <c r="E25" s="5"/>
      <c r="F25" s="5"/>
      <c r="G25" s="5"/>
      <c r="H25" s="5"/>
      <c r="I25" s="5"/>
      <c r="J25" s="5"/>
      <c r="K25" s="5"/>
      <c r="L25" s="5"/>
      <c r="M25" s="5"/>
      <c r="N25" s="5"/>
      <c r="O25" s="5"/>
      <c r="P25" s="5"/>
      <c r="Q25" s="5"/>
      <c r="R25" s="5"/>
      <c r="S25" s="5"/>
      <c r="T25" s="5"/>
      <c r="U25" s="5"/>
      <c r="V25" s="5"/>
      <c r="W25" s="5"/>
      <c r="X25" s="5"/>
      <c r="Y25" s="5"/>
    </row>
    <row r="26" spans="1:25" x14ac:dyDescent="0.3">
      <c r="A26" s="5"/>
      <c r="B26" s="5"/>
      <c r="C26" s="5"/>
      <c r="D26" s="5"/>
      <c r="E26" s="5"/>
      <c r="F26" s="5"/>
      <c r="G26" s="5"/>
      <c r="H26" s="5"/>
      <c r="I26" s="5"/>
      <c r="J26" s="5"/>
      <c r="K26" s="5"/>
      <c r="L26" s="5"/>
      <c r="M26" s="5"/>
      <c r="N26" s="5"/>
      <c r="O26" s="5"/>
      <c r="P26" s="5"/>
      <c r="Q26" s="5"/>
      <c r="R26" s="5"/>
      <c r="S26" s="5"/>
      <c r="T26" s="5"/>
      <c r="U26" s="5"/>
      <c r="V26" s="5"/>
      <c r="W26" s="5"/>
      <c r="X26" s="5"/>
      <c r="Y26" s="5"/>
    </row>
    <row r="27" spans="1:25" x14ac:dyDescent="0.3">
      <c r="A27" s="5"/>
      <c r="B27" s="5"/>
      <c r="C27" s="5"/>
      <c r="D27" s="5"/>
      <c r="E27" s="5"/>
      <c r="F27" s="5"/>
      <c r="G27" s="5"/>
      <c r="H27" s="5"/>
      <c r="I27" s="5"/>
      <c r="J27" s="5"/>
      <c r="K27" s="5"/>
      <c r="L27" s="5"/>
      <c r="M27" s="5"/>
      <c r="N27" s="5"/>
      <c r="O27" s="5"/>
      <c r="P27" s="5"/>
      <c r="Q27" s="5"/>
      <c r="R27" s="5"/>
      <c r="S27" s="5"/>
      <c r="T27" s="5"/>
      <c r="U27" s="5"/>
      <c r="V27" s="5"/>
      <c r="W27" s="5"/>
      <c r="X27" s="5"/>
      <c r="Y27" s="5"/>
    </row>
    <row r="28" spans="1:25" x14ac:dyDescent="0.3">
      <c r="A28" s="5"/>
      <c r="B28" s="5"/>
      <c r="C28" s="5"/>
      <c r="D28" s="5"/>
      <c r="E28" s="5"/>
      <c r="F28" s="5"/>
      <c r="G28" s="5"/>
      <c r="H28" s="5"/>
      <c r="I28" s="5"/>
      <c r="J28" s="5"/>
      <c r="K28" s="5"/>
      <c r="L28" s="5"/>
      <c r="M28" s="5"/>
      <c r="N28" s="5"/>
      <c r="O28" s="5"/>
      <c r="P28" s="5"/>
      <c r="Q28" s="5"/>
      <c r="R28" s="5"/>
      <c r="S28" s="5"/>
      <c r="T28" s="5"/>
      <c r="U28" s="5"/>
      <c r="V28" s="5"/>
      <c r="W28" s="5"/>
      <c r="X28" s="5"/>
      <c r="Y28" s="5"/>
    </row>
    <row r="29" spans="1:25" x14ac:dyDescent="0.3">
      <c r="A29" s="5"/>
      <c r="B29" s="5"/>
      <c r="C29" s="5"/>
      <c r="D29" s="5"/>
      <c r="E29" s="5"/>
      <c r="F29" s="5"/>
      <c r="G29" s="5"/>
      <c r="H29" s="5"/>
      <c r="I29" s="5"/>
      <c r="J29" s="5"/>
      <c r="K29" s="5"/>
      <c r="L29" s="5"/>
      <c r="M29" s="5"/>
      <c r="N29" s="5"/>
      <c r="O29" s="5"/>
      <c r="P29" s="5"/>
      <c r="Q29" s="5"/>
      <c r="R29" s="5"/>
      <c r="S29" s="5"/>
      <c r="T29" s="5"/>
      <c r="U29" s="5"/>
      <c r="V29" s="5"/>
      <c r="W29" s="5"/>
      <c r="X29" s="5"/>
      <c r="Y29" s="5"/>
    </row>
    <row r="30" spans="1:25" x14ac:dyDescent="0.3">
      <c r="A30" s="5"/>
      <c r="B30" s="5"/>
      <c r="C30" s="5"/>
      <c r="D30" s="5"/>
      <c r="E30" s="5"/>
      <c r="F30" s="5"/>
      <c r="G30" s="5"/>
      <c r="H30" s="5"/>
      <c r="I30" s="5"/>
      <c r="J30" s="5"/>
      <c r="K30" s="5"/>
      <c r="L30" s="5"/>
      <c r="M30" s="5"/>
      <c r="N30" s="5"/>
      <c r="O30" s="5"/>
      <c r="P30" s="5"/>
      <c r="Q30" s="5"/>
      <c r="R30" s="5"/>
      <c r="S30" s="5"/>
      <c r="T30" s="5"/>
      <c r="U30" s="5"/>
      <c r="V30" s="5"/>
      <c r="W30" s="5"/>
      <c r="X30" s="5"/>
      <c r="Y30" s="5"/>
    </row>
    <row r="31" spans="1:25" x14ac:dyDescent="0.3">
      <c r="A31" s="5"/>
      <c r="B31" s="5"/>
      <c r="C31" s="5"/>
      <c r="D31" s="5"/>
      <c r="E31" s="5"/>
      <c r="F31" s="5"/>
      <c r="G31" s="5"/>
      <c r="H31" s="5"/>
      <c r="I31" s="5"/>
      <c r="J31" s="5"/>
      <c r="K31" s="5"/>
      <c r="L31" s="5"/>
      <c r="M31" s="5"/>
      <c r="N31" s="5"/>
      <c r="O31" s="5"/>
      <c r="P31" s="5"/>
      <c r="Q31" s="5"/>
      <c r="R31" s="5"/>
      <c r="S31" s="5"/>
      <c r="T31" s="5"/>
      <c r="U31" s="5"/>
      <c r="V31" s="5"/>
      <c r="W31" s="5"/>
      <c r="X31" s="5"/>
      <c r="Y31" s="5"/>
    </row>
    <row r="32" spans="1:25" x14ac:dyDescent="0.3">
      <c r="A32" s="5"/>
      <c r="B32" s="5"/>
      <c r="C32" s="5"/>
      <c r="D32" s="5"/>
      <c r="E32" s="5"/>
      <c r="F32" s="5"/>
      <c r="G32" s="5"/>
      <c r="H32" s="5"/>
      <c r="I32" s="5"/>
      <c r="J32" s="5"/>
      <c r="K32" s="5"/>
      <c r="L32" s="5"/>
      <c r="M32" s="5"/>
      <c r="N32" s="5"/>
      <c r="O32" s="5"/>
      <c r="P32" s="5"/>
      <c r="Q32" s="5"/>
      <c r="R32" s="5"/>
      <c r="S32" s="5"/>
      <c r="T32" s="5"/>
      <c r="U32" s="5"/>
      <c r="V32" s="5"/>
      <c r="W32" s="5"/>
      <c r="X32" s="5"/>
      <c r="Y32" s="5"/>
    </row>
    <row r="33" spans="1:25" x14ac:dyDescent="0.3">
      <c r="A33" s="5"/>
      <c r="B33" s="5"/>
      <c r="C33" s="5"/>
      <c r="D33" s="5"/>
      <c r="E33" s="5"/>
      <c r="F33" s="5"/>
      <c r="G33" s="5"/>
      <c r="H33" s="5"/>
      <c r="I33" s="5"/>
      <c r="J33" s="5"/>
      <c r="K33" s="5"/>
      <c r="L33" s="5"/>
      <c r="M33" s="5"/>
      <c r="N33" s="5"/>
      <c r="O33" s="5"/>
      <c r="P33" s="5"/>
      <c r="Q33" s="5"/>
      <c r="R33" s="5"/>
      <c r="S33" s="5"/>
      <c r="T33" s="5"/>
      <c r="U33" s="5"/>
      <c r="V33" s="5"/>
      <c r="W33" s="5"/>
      <c r="X33" s="5"/>
      <c r="Y33" s="5"/>
    </row>
    <row r="34" spans="1:25" x14ac:dyDescent="0.3">
      <c r="A34" s="5"/>
      <c r="B34" s="5"/>
      <c r="C34" s="5"/>
      <c r="D34" s="5"/>
      <c r="E34" s="5"/>
      <c r="F34" s="5"/>
      <c r="G34" s="5"/>
      <c r="H34" s="5"/>
      <c r="I34" s="5"/>
      <c r="J34" s="5"/>
      <c r="K34" s="5"/>
      <c r="L34" s="5"/>
      <c r="M34" s="5"/>
      <c r="N34" s="5"/>
      <c r="O34" s="5"/>
      <c r="P34" s="5"/>
      <c r="Q34" s="5"/>
      <c r="R34" s="5"/>
      <c r="S34" s="5"/>
      <c r="T34" s="5"/>
      <c r="U34" s="5"/>
      <c r="V34" s="5"/>
      <c r="W34" s="5"/>
      <c r="X34" s="5"/>
      <c r="Y34" s="5"/>
    </row>
    <row r="35" spans="1:25" x14ac:dyDescent="0.3">
      <c r="A35" s="5"/>
      <c r="B35" s="5"/>
      <c r="C35" s="5"/>
      <c r="D35" s="5"/>
      <c r="E35" s="5"/>
      <c r="F35" s="5"/>
      <c r="G35" s="5"/>
      <c r="H35" s="5"/>
      <c r="I35" s="5"/>
      <c r="J35" s="5"/>
      <c r="K35" s="5"/>
      <c r="L35" s="5"/>
      <c r="M35" s="5"/>
      <c r="N35" s="5"/>
      <c r="O35" s="5"/>
      <c r="P35" s="5"/>
      <c r="Q35" s="5"/>
      <c r="R35" s="5"/>
      <c r="S35" s="5"/>
      <c r="T35" s="5"/>
      <c r="U35" s="5"/>
      <c r="V35" s="5"/>
      <c r="W35" s="5"/>
      <c r="X35" s="5"/>
      <c r="Y35" s="5"/>
    </row>
    <row r="36" spans="1:25" x14ac:dyDescent="0.3">
      <c r="A36" s="5"/>
      <c r="B36" s="5"/>
      <c r="C36" s="5"/>
      <c r="D36" s="5"/>
      <c r="E36" s="5"/>
      <c r="F36" s="5"/>
      <c r="G36" s="5"/>
      <c r="H36" s="5"/>
      <c r="I36" s="5"/>
      <c r="J36" s="5"/>
      <c r="K36" s="5"/>
      <c r="L36" s="5"/>
      <c r="M36" s="5"/>
      <c r="N36" s="5"/>
      <c r="O36" s="5"/>
      <c r="P36" s="5"/>
      <c r="Q36" s="5"/>
      <c r="R36" s="5"/>
      <c r="S36" s="5"/>
      <c r="T36" s="5"/>
      <c r="U36" s="5"/>
      <c r="V36" s="5"/>
      <c r="W36" s="5"/>
      <c r="X36" s="5"/>
      <c r="Y36" s="5"/>
    </row>
    <row r="37" spans="1:25" x14ac:dyDescent="0.3">
      <c r="A37" s="5"/>
      <c r="B37" s="5"/>
      <c r="C37" s="5"/>
      <c r="D37" s="5"/>
      <c r="E37" s="5"/>
      <c r="F37" s="5"/>
      <c r="G37" s="5"/>
      <c r="H37" s="5"/>
      <c r="I37" s="5"/>
      <c r="J37" s="5"/>
      <c r="K37" s="5"/>
      <c r="L37" s="5"/>
      <c r="M37" s="5"/>
      <c r="N37" s="5"/>
      <c r="O37" s="5"/>
      <c r="P37" s="5"/>
      <c r="Q37" s="5"/>
      <c r="R37" s="5"/>
      <c r="S37" s="5"/>
      <c r="T37" s="5"/>
      <c r="U37" s="5"/>
      <c r="V37" s="5"/>
      <c r="W37" s="5"/>
      <c r="X37" s="5"/>
      <c r="Y37" s="5"/>
    </row>
    <row r="38" spans="1:25" x14ac:dyDescent="0.3">
      <c r="A38" s="5"/>
      <c r="B38" s="5"/>
      <c r="C38" s="5"/>
      <c r="D38" s="5"/>
      <c r="E38" s="5"/>
      <c r="F38" s="5"/>
      <c r="G38" s="5"/>
      <c r="H38" s="5"/>
      <c r="I38" s="5"/>
      <c r="J38" s="5"/>
      <c r="K38" s="5"/>
      <c r="L38" s="5"/>
      <c r="M38" s="5"/>
      <c r="N38" s="5"/>
      <c r="O38" s="5"/>
      <c r="P38" s="5"/>
      <c r="Q38" s="5"/>
      <c r="R38" s="5"/>
      <c r="S38" s="5"/>
      <c r="T38" s="5"/>
      <c r="U38" s="5"/>
      <c r="V38" s="5"/>
      <c r="W38" s="5"/>
      <c r="X38" s="5"/>
      <c r="Y38" s="5"/>
    </row>
    <row r="39" spans="1:25" x14ac:dyDescent="0.3">
      <c r="A39" s="5"/>
      <c r="B39" s="5"/>
      <c r="C39" s="5"/>
      <c r="D39" s="5"/>
      <c r="E39" s="5"/>
      <c r="F39" s="5"/>
      <c r="G39" s="5"/>
      <c r="H39" s="5"/>
      <c r="I39" s="5"/>
      <c r="J39" s="5"/>
      <c r="K39" s="5"/>
      <c r="L39" s="5"/>
      <c r="M39" s="5"/>
      <c r="N39" s="5"/>
      <c r="O39" s="5"/>
      <c r="P39" s="5"/>
      <c r="Q39" s="5"/>
      <c r="R39" s="5"/>
      <c r="S39" s="5"/>
      <c r="T39" s="5"/>
      <c r="U39" s="5"/>
      <c r="V39" s="5"/>
      <c r="W39" s="5"/>
      <c r="X39" s="5"/>
      <c r="Y39" s="5"/>
    </row>
    <row r="40" spans="1:25" x14ac:dyDescent="0.3">
      <c r="A40" s="5"/>
      <c r="B40" s="5"/>
      <c r="C40" s="5"/>
      <c r="D40" s="5"/>
      <c r="E40" s="5"/>
      <c r="F40" s="5"/>
      <c r="G40" s="5"/>
      <c r="H40" s="5"/>
      <c r="I40" s="5"/>
      <c r="J40" s="5"/>
      <c r="K40" s="5"/>
      <c r="L40" s="5"/>
      <c r="M40" s="5"/>
      <c r="N40" s="5"/>
      <c r="O40" s="5"/>
      <c r="P40" s="5"/>
      <c r="Q40" s="5"/>
      <c r="R40" s="5"/>
      <c r="S40" s="5"/>
      <c r="T40" s="5"/>
      <c r="U40" s="5"/>
      <c r="V40" s="5"/>
      <c r="W40" s="5"/>
      <c r="X40" s="5"/>
      <c r="Y40" s="5"/>
    </row>
    <row r="41" spans="1:25" x14ac:dyDescent="0.3">
      <c r="A41" s="5"/>
      <c r="B41" s="5"/>
      <c r="C41" s="5"/>
      <c r="D41" s="5"/>
      <c r="E41" s="5"/>
      <c r="F41" s="5"/>
      <c r="G41" s="5"/>
      <c r="H41" s="5"/>
      <c r="I41" s="5"/>
      <c r="J41" s="5"/>
      <c r="K41" s="5"/>
      <c r="L41" s="5"/>
      <c r="M41" s="5"/>
      <c r="N41" s="5"/>
      <c r="O41" s="5"/>
      <c r="P41" s="5"/>
      <c r="Q41" s="5"/>
      <c r="R41" s="5"/>
      <c r="S41" s="5"/>
      <c r="T41" s="5"/>
      <c r="U41" s="5"/>
      <c r="V41" s="5"/>
      <c r="W41" s="5"/>
      <c r="X41" s="5"/>
      <c r="Y41" s="5"/>
    </row>
    <row r="42" spans="1:25" x14ac:dyDescent="0.3">
      <c r="A42" s="5"/>
      <c r="B42" s="5"/>
      <c r="C42" s="5"/>
      <c r="D42" s="5"/>
      <c r="E42" s="5"/>
      <c r="F42" s="5"/>
      <c r="G42" s="5"/>
      <c r="H42" s="5"/>
      <c r="I42" s="5"/>
      <c r="J42" s="5"/>
      <c r="K42" s="5"/>
      <c r="L42" s="5"/>
      <c r="M42" s="5"/>
      <c r="N42" s="5"/>
      <c r="O42" s="5"/>
      <c r="P42" s="5"/>
      <c r="Q42" s="5"/>
      <c r="R42" s="5"/>
      <c r="S42" s="5"/>
      <c r="T42" s="5"/>
      <c r="U42" s="5"/>
      <c r="V42" s="5"/>
      <c r="W42" s="5"/>
      <c r="X42" s="5"/>
      <c r="Y42" s="5"/>
    </row>
    <row r="43" spans="1:25" x14ac:dyDescent="0.3">
      <c r="A43" s="5"/>
      <c r="B43" s="5"/>
      <c r="C43" s="5"/>
      <c r="D43" s="5"/>
      <c r="E43" s="5"/>
      <c r="F43" s="5"/>
      <c r="G43" s="5"/>
      <c r="H43" s="5"/>
      <c r="I43" s="5"/>
      <c r="J43" s="5"/>
      <c r="K43" s="5"/>
      <c r="L43" s="5"/>
      <c r="M43" s="5"/>
      <c r="N43" s="5"/>
      <c r="O43" s="5"/>
      <c r="P43" s="5"/>
      <c r="Q43" s="5"/>
      <c r="R43" s="5"/>
      <c r="S43" s="5"/>
      <c r="T43" s="5"/>
      <c r="U43" s="5"/>
      <c r="V43" s="5"/>
      <c r="W43" s="5"/>
      <c r="X43" s="5"/>
      <c r="Y43" s="5"/>
    </row>
    <row r="44" spans="1:25" x14ac:dyDescent="0.3">
      <c r="A44" s="5"/>
      <c r="B44" s="5"/>
      <c r="C44" s="5"/>
      <c r="D44" s="5"/>
      <c r="E44" s="5"/>
      <c r="F44" s="5"/>
      <c r="G44" s="5"/>
      <c r="H44" s="5"/>
      <c r="I44" s="5"/>
      <c r="J44" s="5"/>
      <c r="K44" s="5"/>
      <c r="L44" s="5"/>
      <c r="M44" s="5"/>
      <c r="N44" s="5"/>
      <c r="O44" s="5"/>
      <c r="P44" s="5"/>
      <c r="Q44" s="5"/>
      <c r="R44" s="5"/>
      <c r="S44" s="5"/>
      <c r="T44" s="5"/>
      <c r="U44" s="5"/>
      <c r="V44" s="5"/>
      <c r="W44" s="5"/>
      <c r="X44" s="5"/>
      <c r="Y44" s="5"/>
    </row>
    <row r="45" spans="1:25" x14ac:dyDescent="0.3">
      <c r="A45" s="5"/>
      <c r="B45" s="5"/>
      <c r="C45" s="5"/>
      <c r="D45" s="5"/>
      <c r="E45" s="5"/>
      <c r="F45" s="5"/>
      <c r="G45" s="5"/>
      <c r="H45" s="5"/>
      <c r="I45" s="5"/>
      <c r="J45" s="5"/>
      <c r="K45" s="5"/>
      <c r="L45" s="5"/>
      <c r="M45" s="5"/>
      <c r="N45" s="5"/>
      <c r="O45" s="5"/>
      <c r="P45" s="5"/>
      <c r="Q45" s="5"/>
      <c r="R45" s="5"/>
      <c r="S45" s="5"/>
      <c r="T45" s="5"/>
      <c r="U45" s="5"/>
      <c r="V45" s="5"/>
      <c r="W45" s="5"/>
      <c r="X45" s="5"/>
      <c r="Y45" s="5"/>
    </row>
    <row r="46" spans="1:25" x14ac:dyDescent="0.3">
      <c r="A46" s="5"/>
      <c r="B46" s="5"/>
      <c r="C46" s="5"/>
      <c r="D46" s="5"/>
      <c r="E46" s="5"/>
      <c r="F46" s="5"/>
      <c r="G46" s="5"/>
      <c r="H46" s="5"/>
      <c r="I46" s="5"/>
      <c r="J46" s="5"/>
      <c r="K46" s="5"/>
      <c r="L46" s="5"/>
      <c r="M46" s="5"/>
      <c r="N46" s="5"/>
      <c r="O46" s="5"/>
      <c r="P46" s="5"/>
      <c r="Q46" s="5"/>
      <c r="R46" s="5"/>
      <c r="S46" s="5"/>
      <c r="T46" s="5"/>
      <c r="U46" s="5"/>
      <c r="V46" s="5"/>
      <c r="W46" s="5"/>
      <c r="X46" s="5"/>
      <c r="Y46" s="5"/>
    </row>
    <row r="47" spans="1:25" x14ac:dyDescent="0.3">
      <c r="A47" s="5"/>
      <c r="B47" s="5"/>
      <c r="C47" s="5"/>
      <c r="D47" s="5"/>
      <c r="E47" s="5"/>
      <c r="F47" s="5"/>
      <c r="G47" s="5"/>
      <c r="H47" s="5"/>
      <c r="I47" s="5"/>
      <c r="J47" s="5"/>
      <c r="K47" s="5"/>
      <c r="L47" s="5"/>
      <c r="M47" s="5"/>
      <c r="N47" s="5"/>
      <c r="O47" s="5"/>
      <c r="P47" s="5"/>
      <c r="Q47" s="5"/>
      <c r="R47" s="5"/>
      <c r="S47" s="5"/>
      <c r="T47" s="5"/>
      <c r="U47" s="5"/>
      <c r="V47" s="5"/>
      <c r="W47" s="5"/>
      <c r="X47" s="5"/>
      <c r="Y47" s="5"/>
    </row>
    <row r="48" spans="1:25" x14ac:dyDescent="0.3">
      <c r="A48" s="5"/>
      <c r="B48" s="5"/>
      <c r="C48" s="5"/>
      <c r="D48" s="5"/>
      <c r="E48" s="5"/>
      <c r="F48" s="5"/>
      <c r="G48" s="5"/>
      <c r="H48" s="5"/>
      <c r="I48" s="5"/>
      <c r="J48" s="5"/>
      <c r="K48" s="5"/>
      <c r="L48" s="5"/>
      <c r="M48" s="5"/>
      <c r="N48" s="5"/>
      <c r="O48" s="5"/>
      <c r="P48" s="5"/>
      <c r="Q48" s="5"/>
      <c r="R48" s="5"/>
      <c r="S48" s="5"/>
      <c r="T48" s="5"/>
      <c r="U48" s="5"/>
      <c r="V48" s="5"/>
      <c r="W48" s="5"/>
      <c r="X48" s="5"/>
      <c r="Y48" s="5"/>
    </row>
    <row r="49" spans="1:25" x14ac:dyDescent="0.3">
      <c r="A49" s="5"/>
      <c r="B49" s="5"/>
      <c r="C49" s="5"/>
      <c r="D49" s="5"/>
      <c r="E49" s="5"/>
      <c r="F49" s="5"/>
      <c r="G49" s="5"/>
      <c r="H49" s="5"/>
      <c r="I49" s="5"/>
      <c r="J49" s="5"/>
      <c r="K49" s="5"/>
      <c r="L49" s="5"/>
      <c r="M49" s="5"/>
      <c r="N49" s="5"/>
      <c r="O49" s="5"/>
      <c r="P49" s="5"/>
      <c r="Q49" s="5"/>
      <c r="R49" s="5"/>
      <c r="S49" s="5"/>
      <c r="T49" s="5"/>
      <c r="U49" s="5"/>
      <c r="V49" s="5"/>
      <c r="W49" s="5"/>
      <c r="X49" s="5"/>
      <c r="Y49" s="5"/>
    </row>
    <row r="50" spans="1:25" x14ac:dyDescent="0.3">
      <c r="A50" s="5"/>
      <c r="B50" s="5"/>
      <c r="C50" s="5"/>
      <c r="D50" s="5"/>
      <c r="E50" s="5"/>
      <c r="F50" s="5"/>
      <c r="G50" s="5"/>
      <c r="H50" s="5"/>
      <c r="I50" s="5"/>
      <c r="J50" s="5"/>
      <c r="K50" s="5"/>
      <c r="L50" s="5"/>
      <c r="M50" s="5"/>
      <c r="N50" s="5"/>
      <c r="O50" s="5"/>
      <c r="P50" s="5"/>
      <c r="Q50" s="5"/>
      <c r="R50" s="5"/>
      <c r="S50" s="5"/>
      <c r="T50" s="5"/>
      <c r="U50" s="5"/>
      <c r="V50" s="5"/>
      <c r="W50" s="5"/>
      <c r="X50" s="5"/>
      <c r="Y50" s="5"/>
    </row>
    <row r="51" spans="1:25" x14ac:dyDescent="0.3">
      <c r="A51" s="5"/>
      <c r="B51" s="5"/>
      <c r="C51" s="5"/>
      <c r="D51" s="5"/>
      <c r="E51" s="5"/>
      <c r="F51" s="5"/>
      <c r="G51" s="5"/>
      <c r="H51" s="5"/>
      <c r="I51" s="5"/>
      <c r="J51" s="5"/>
      <c r="K51" s="5"/>
      <c r="L51" s="5"/>
      <c r="M51" s="5"/>
      <c r="N51" s="5"/>
      <c r="O51" s="5"/>
      <c r="P51" s="5"/>
      <c r="Q51" s="5"/>
      <c r="R51" s="5"/>
      <c r="S51" s="5"/>
      <c r="T51" s="5"/>
      <c r="U51" s="5"/>
      <c r="V51" s="5"/>
      <c r="W51" s="5"/>
      <c r="X51" s="5"/>
      <c r="Y51" s="5"/>
    </row>
    <row r="52" spans="1:25" x14ac:dyDescent="0.3">
      <c r="A52" s="5"/>
      <c r="B52" s="5"/>
      <c r="C52" s="5"/>
      <c r="D52" s="5"/>
      <c r="E52" s="5"/>
      <c r="F52" s="5"/>
      <c r="G52" s="5"/>
      <c r="H52" s="5"/>
      <c r="I52" s="5"/>
      <c r="J52" s="5"/>
      <c r="K52" s="5"/>
      <c r="L52" s="5"/>
      <c r="M52" s="5"/>
      <c r="N52" s="5"/>
      <c r="O52" s="5"/>
      <c r="P52" s="5"/>
      <c r="Q52" s="5"/>
      <c r="R52" s="5"/>
      <c r="S52" s="5"/>
      <c r="T52" s="5"/>
      <c r="U52" s="5"/>
      <c r="V52" s="5"/>
      <c r="W52" s="5"/>
      <c r="X52" s="5"/>
      <c r="Y52" s="5"/>
    </row>
    <row r="53" spans="1:25" x14ac:dyDescent="0.3">
      <c r="A53" s="5"/>
      <c r="B53" s="5"/>
      <c r="C53" s="5"/>
      <c r="D53" s="5"/>
      <c r="E53" s="5"/>
      <c r="F53" s="5"/>
      <c r="G53" s="5"/>
      <c r="H53" s="5"/>
      <c r="I53" s="5"/>
      <c r="J53" s="5"/>
      <c r="K53" s="5"/>
      <c r="L53" s="5"/>
      <c r="M53" s="5"/>
      <c r="N53" s="5"/>
      <c r="O53" s="5"/>
      <c r="P53" s="5"/>
      <c r="Q53" s="5"/>
      <c r="R53" s="5"/>
      <c r="S53" s="5"/>
      <c r="T53" s="5"/>
      <c r="U53" s="5"/>
      <c r="V53" s="5"/>
      <c r="W53" s="5"/>
      <c r="X53" s="5"/>
      <c r="Y53" s="5"/>
    </row>
    <row r="54" spans="1:25" x14ac:dyDescent="0.3">
      <c r="A54" s="5"/>
      <c r="B54" s="5"/>
      <c r="C54" s="5"/>
      <c r="D54" s="5"/>
      <c r="E54" s="5"/>
      <c r="F54" s="5"/>
      <c r="G54" s="5"/>
      <c r="H54" s="5"/>
      <c r="I54" s="5"/>
      <c r="J54" s="5"/>
      <c r="K54" s="5"/>
      <c r="L54" s="5"/>
      <c r="M54" s="5"/>
      <c r="N54" s="5"/>
      <c r="O54" s="5"/>
      <c r="P54" s="5"/>
      <c r="Q54" s="5"/>
      <c r="R54" s="5"/>
      <c r="S54" s="5"/>
      <c r="T54" s="5"/>
      <c r="U54" s="5"/>
      <c r="V54" s="5"/>
      <c r="W54" s="5"/>
      <c r="X54" s="5"/>
      <c r="Y54" s="5"/>
    </row>
    <row r="55" spans="1:25" x14ac:dyDescent="0.3">
      <c r="A55" s="5"/>
      <c r="B55" s="5"/>
      <c r="C55" s="5"/>
      <c r="D55" s="5"/>
      <c r="E55" s="5"/>
      <c r="F55" s="5"/>
      <c r="G55" s="5"/>
      <c r="H55" s="5"/>
      <c r="I55" s="5"/>
      <c r="J55" s="5"/>
      <c r="K55" s="5"/>
      <c r="L55" s="5"/>
      <c r="M55" s="5"/>
      <c r="N55" s="5"/>
      <c r="O55" s="5"/>
      <c r="P55" s="5"/>
      <c r="Q55" s="5"/>
      <c r="R55" s="5"/>
      <c r="S55" s="5"/>
      <c r="T55" s="5"/>
      <c r="U55" s="5"/>
      <c r="V55" s="5"/>
      <c r="W55" s="5"/>
      <c r="X55" s="5"/>
      <c r="Y55" s="5"/>
    </row>
    <row r="56" spans="1:25" x14ac:dyDescent="0.3">
      <c r="A56" s="5"/>
      <c r="B56" s="5"/>
      <c r="C56" s="5"/>
      <c r="D56" s="5"/>
      <c r="E56" s="5"/>
      <c r="F56" s="5"/>
      <c r="G56" s="5"/>
      <c r="H56" s="5"/>
      <c r="I56" s="5"/>
      <c r="J56" s="5"/>
      <c r="K56" s="5"/>
      <c r="L56" s="5"/>
      <c r="M56" s="5"/>
      <c r="N56" s="5"/>
      <c r="O56" s="5"/>
      <c r="P56" s="5"/>
      <c r="Q56" s="5"/>
      <c r="R56" s="5"/>
      <c r="S56" s="5"/>
      <c r="T56" s="5"/>
      <c r="U56" s="5"/>
      <c r="V56" s="5"/>
      <c r="W56" s="5"/>
      <c r="X56" s="5"/>
      <c r="Y56" s="5"/>
    </row>
    <row r="57" spans="1:25" x14ac:dyDescent="0.3">
      <c r="A57" s="5"/>
      <c r="B57" s="5"/>
      <c r="C57" s="5"/>
      <c r="D57" s="5"/>
      <c r="E57" s="5"/>
      <c r="F57" s="5"/>
      <c r="G57" s="5"/>
      <c r="H57" s="5"/>
      <c r="I57" s="5"/>
      <c r="J57" s="5"/>
      <c r="K57" s="5"/>
      <c r="L57" s="5"/>
      <c r="M57" s="5"/>
      <c r="N57" s="5"/>
      <c r="O57" s="5"/>
      <c r="P57" s="5"/>
      <c r="Q57" s="5"/>
      <c r="R57" s="5"/>
      <c r="S57" s="5"/>
      <c r="T57" s="5"/>
      <c r="U57" s="5"/>
      <c r="V57" s="5"/>
      <c r="W57" s="5"/>
      <c r="X57" s="5"/>
      <c r="Y57" s="5"/>
    </row>
    <row r="58" spans="1:25" x14ac:dyDescent="0.3">
      <c r="A58" s="5"/>
      <c r="B58" s="5"/>
      <c r="C58" s="5"/>
      <c r="D58" s="5"/>
      <c r="E58" s="5"/>
      <c r="F58" s="5"/>
      <c r="G58" s="5"/>
      <c r="H58" s="5"/>
      <c r="I58" s="5"/>
      <c r="J58" s="5"/>
      <c r="K58" s="5"/>
      <c r="L58" s="5"/>
      <c r="M58" s="5"/>
      <c r="N58" s="5"/>
      <c r="O58" s="5"/>
      <c r="P58" s="5"/>
      <c r="Q58" s="5"/>
      <c r="R58" s="5"/>
      <c r="S58" s="5"/>
      <c r="T58" s="5"/>
      <c r="U58" s="5"/>
      <c r="V58" s="5"/>
      <c r="W58" s="5"/>
      <c r="X58" s="5"/>
      <c r="Y58" s="5"/>
    </row>
    <row r="59" spans="1:25" x14ac:dyDescent="0.3">
      <c r="A59" s="5"/>
      <c r="B59" s="5"/>
      <c r="C59" s="5"/>
      <c r="D59" s="5"/>
      <c r="E59" s="5"/>
      <c r="F59" s="5"/>
      <c r="G59" s="5"/>
      <c r="H59" s="5"/>
      <c r="I59" s="5"/>
      <c r="J59" s="5"/>
      <c r="K59" s="5"/>
      <c r="L59" s="5"/>
      <c r="M59" s="5"/>
      <c r="N59" s="5"/>
      <c r="O59" s="5"/>
      <c r="P59" s="5"/>
      <c r="Q59" s="5"/>
      <c r="R59" s="5"/>
      <c r="S59" s="5"/>
      <c r="T59" s="5"/>
      <c r="U59" s="5"/>
      <c r="V59" s="5"/>
      <c r="W59" s="5"/>
      <c r="X59" s="5"/>
      <c r="Y59" s="5"/>
    </row>
    <row r="60" spans="1:25" x14ac:dyDescent="0.3">
      <c r="A60" s="5"/>
      <c r="B60" s="5"/>
      <c r="C60" s="5"/>
      <c r="D60" s="5"/>
      <c r="E60" s="5"/>
      <c r="F60" s="5"/>
      <c r="G60" s="5"/>
      <c r="H60" s="5"/>
      <c r="I60" s="5"/>
      <c r="J60" s="5"/>
      <c r="K60" s="5"/>
      <c r="L60" s="5"/>
      <c r="M60" s="5"/>
      <c r="N60" s="5"/>
      <c r="O60" s="5"/>
      <c r="P60" s="5"/>
      <c r="Q60" s="5"/>
      <c r="R60" s="5"/>
      <c r="S60" s="5"/>
      <c r="T60" s="5"/>
      <c r="U60" s="5"/>
      <c r="V60" s="5"/>
      <c r="W60" s="5"/>
      <c r="X60" s="5"/>
      <c r="Y60" s="5"/>
    </row>
    <row r="61" spans="1:25" x14ac:dyDescent="0.3">
      <c r="A61" s="5"/>
      <c r="B61" s="5"/>
      <c r="C61" s="5"/>
      <c r="D61" s="5"/>
      <c r="E61" s="5"/>
      <c r="F61" s="5"/>
      <c r="G61" s="5"/>
      <c r="H61" s="5"/>
      <c r="I61" s="5"/>
      <c r="J61" s="5"/>
      <c r="K61" s="5"/>
      <c r="L61" s="5"/>
      <c r="M61" s="5"/>
      <c r="N61" s="5"/>
      <c r="O61" s="5"/>
      <c r="P61" s="5"/>
      <c r="Q61" s="5"/>
      <c r="R61" s="5"/>
      <c r="S61" s="5"/>
      <c r="T61" s="5"/>
      <c r="U61" s="5"/>
      <c r="V61" s="5"/>
      <c r="W61" s="5"/>
      <c r="X61" s="5"/>
      <c r="Y61" s="5"/>
    </row>
    <row r="62" spans="1:25" x14ac:dyDescent="0.3">
      <c r="A62" s="5"/>
      <c r="B62" s="5"/>
      <c r="C62" s="5"/>
      <c r="D62" s="5"/>
      <c r="E62" s="5"/>
      <c r="F62" s="5"/>
      <c r="G62" s="5"/>
      <c r="H62" s="5"/>
      <c r="I62" s="5"/>
      <c r="J62" s="5"/>
      <c r="K62" s="5"/>
      <c r="L62" s="5"/>
      <c r="M62" s="5"/>
      <c r="N62" s="5"/>
      <c r="O62" s="5"/>
      <c r="P62" s="5"/>
      <c r="Q62" s="5"/>
      <c r="R62" s="5"/>
      <c r="S62" s="5"/>
      <c r="T62" s="5"/>
      <c r="U62" s="5"/>
      <c r="V62" s="5"/>
      <c r="W62" s="5"/>
      <c r="X62" s="5"/>
      <c r="Y62" s="5"/>
    </row>
    <row r="63" spans="1:25" x14ac:dyDescent="0.3">
      <c r="A63" s="5"/>
      <c r="B63" s="5"/>
      <c r="C63" s="5"/>
      <c r="D63" s="5"/>
      <c r="E63" s="5"/>
      <c r="F63" s="5"/>
      <c r="G63" s="5"/>
      <c r="H63" s="5"/>
      <c r="I63" s="5"/>
      <c r="J63" s="5"/>
      <c r="K63" s="5"/>
      <c r="L63" s="5"/>
      <c r="M63" s="5"/>
      <c r="N63" s="5"/>
      <c r="O63" s="5"/>
      <c r="P63" s="5"/>
      <c r="Q63" s="5"/>
      <c r="R63" s="5"/>
      <c r="S63" s="5"/>
      <c r="T63" s="5"/>
      <c r="U63" s="5"/>
      <c r="V63" s="5"/>
      <c r="W63" s="5"/>
      <c r="X63" s="5"/>
      <c r="Y63" s="5"/>
    </row>
    <row r="64" spans="1:25" x14ac:dyDescent="0.3">
      <c r="A64" s="5"/>
      <c r="B64" s="5"/>
      <c r="C64" s="5"/>
      <c r="D64" s="5"/>
      <c r="E64" s="5"/>
      <c r="F64" s="5"/>
      <c r="G64" s="5"/>
      <c r="H64" s="5"/>
      <c r="I64" s="5"/>
      <c r="J64" s="5"/>
      <c r="K64" s="5"/>
      <c r="L64" s="5"/>
      <c r="M64" s="5"/>
      <c r="N64" s="5"/>
      <c r="O64" s="5"/>
      <c r="P64" s="5"/>
      <c r="Q64" s="5"/>
      <c r="R64" s="5"/>
      <c r="S64" s="5"/>
      <c r="T64" s="5"/>
      <c r="U64" s="5"/>
      <c r="V64" s="5"/>
      <c r="W64" s="5"/>
      <c r="X64" s="5"/>
      <c r="Y64" s="5"/>
    </row>
    <row r="65" spans="1:25" x14ac:dyDescent="0.3">
      <c r="A65" s="5"/>
      <c r="B65" s="5"/>
      <c r="C65" s="5"/>
      <c r="D65" s="5"/>
      <c r="E65" s="5"/>
      <c r="F65" s="5"/>
      <c r="G65" s="5"/>
      <c r="H65" s="5"/>
      <c r="I65" s="5"/>
      <c r="J65" s="5"/>
      <c r="K65" s="5"/>
      <c r="L65" s="5"/>
      <c r="M65" s="5"/>
      <c r="N65" s="5"/>
      <c r="O65" s="5"/>
      <c r="P65" s="5"/>
      <c r="Q65" s="5"/>
      <c r="R65" s="5"/>
      <c r="S65" s="5"/>
      <c r="T65" s="5"/>
      <c r="U65" s="5"/>
      <c r="V65" s="5"/>
      <c r="W65" s="5"/>
      <c r="X65" s="5"/>
      <c r="Y65" s="5"/>
    </row>
    <row r="66" spans="1:25" x14ac:dyDescent="0.3">
      <c r="A66" s="5"/>
      <c r="B66" s="5"/>
      <c r="C66" s="5"/>
      <c r="D66" s="5"/>
      <c r="E66" s="5"/>
      <c r="F66" s="5"/>
      <c r="G66" s="5"/>
      <c r="H66" s="5"/>
      <c r="I66" s="5"/>
      <c r="J66" s="5"/>
      <c r="K66" s="5"/>
      <c r="L66" s="5"/>
      <c r="M66" s="5"/>
      <c r="N66" s="5"/>
      <c r="O66" s="5"/>
      <c r="P66" s="5"/>
      <c r="Q66" s="5"/>
      <c r="R66" s="5"/>
      <c r="S66" s="5"/>
      <c r="T66" s="5"/>
      <c r="U66" s="5"/>
      <c r="V66" s="5"/>
      <c r="W66" s="5"/>
      <c r="X66" s="5"/>
      <c r="Y66" s="5"/>
    </row>
    <row r="67" spans="1:25" x14ac:dyDescent="0.3">
      <c r="A67" s="5"/>
      <c r="B67" s="5"/>
      <c r="C67" s="5"/>
      <c r="D67" s="5"/>
      <c r="E67" s="5"/>
      <c r="F67" s="5"/>
      <c r="G67" s="5"/>
      <c r="H67" s="5"/>
      <c r="I67" s="5"/>
      <c r="J67" s="5"/>
      <c r="K67" s="5"/>
      <c r="L67" s="5"/>
      <c r="M67" s="5"/>
      <c r="N67" s="5"/>
      <c r="O67" s="5"/>
      <c r="P67" s="5"/>
      <c r="Q67" s="5"/>
      <c r="R67" s="5"/>
      <c r="S67" s="5"/>
      <c r="T67" s="5"/>
      <c r="U67" s="5"/>
      <c r="V67" s="5"/>
      <c r="W67" s="5"/>
      <c r="X67" s="5"/>
      <c r="Y67" s="5"/>
    </row>
    <row r="68" spans="1:25" x14ac:dyDescent="0.3">
      <c r="A68" s="5"/>
      <c r="B68" s="5"/>
      <c r="C68" s="5"/>
      <c r="D68" s="5"/>
      <c r="E68" s="5"/>
      <c r="F68" s="5"/>
      <c r="G68" s="5"/>
      <c r="H68" s="5"/>
      <c r="I68" s="5"/>
      <c r="J68" s="5"/>
      <c r="K68" s="5"/>
      <c r="L68" s="5"/>
      <c r="M68" s="5"/>
      <c r="N68" s="5"/>
      <c r="O68" s="5"/>
      <c r="P68" s="5"/>
      <c r="Q68" s="5"/>
      <c r="R68" s="5"/>
      <c r="S68" s="5"/>
      <c r="T68" s="5"/>
      <c r="U68" s="5"/>
      <c r="V68" s="5"/>
      <c r="W68" s="5"/>
      <c r="X68" s="5"/>
      <c r="Y68" s="5"/>
    </row>
    <row r="69" spans="1:25" x14ac:dyDescent="0.3">
      <c r="A69" s="5"/>
      <c r="B69" s="5"/>
      <c r="C69" s="5"/>
      <c r="D69" s="5"/>
      <c r="E69" s="5"/>
      <c r="F69" s="5"/>
      <c r="G69" s="5"/>
      <c r="H69" s="5"/>
      <c r="I69" s="5"/>
      <c r="J69" s="5"/>
      <c r="K69" s="5"/>
      <c r="L69" s="5"/>
      <c r="M69" s="5"/>
      <c r="N69" s="5"/>
      <c r="O69" s="5"/>
      <c r="P69" s="5"/>
      <c r="Q69" s="5"/>
      <c r="R69" s="5"/>
      <c r="S69" s="5"/>
      <c r="T69" s="5"/>
      <c r="U69" s="5"/>
      <c r="V69" s="5"/>
      <c r="W69" s="5"/>
      <c r="X69" s="5"/>
      <c r="Y69" s="5"/>
    </row>
    <row r="70" spans="1:25" x14ac:dyDescent="0.3">
      <c r="A70" s="5"/>
      <c r="B70" s="5"/>
      <c r="C70" s="5"/>
      <c r="D70" s="5"/>
      <c r="E70" s="5"/>
      <c r="F70" s="5"/>
      <c r="G70" s="5"/>
      <c r="H70" s="5"/>
      <c r="I70" s="5"/>
      <c r="J70" s="5"/>
      <c r="K70" s="5"/>
      <c r="L70" s="5"/>
      <c r="M70" s="5"/>
      <c r="N70" s="5"/>
      <c r="O70" s="5"/>
      <c r="P70" s="5"/>
      <c r="Q70" s="5"/>
      <c r="R70" s="5"/>
      <c r="S70" s="5"/>
      <c r="T70" s="5"/>
      <c r="U70" s="5"/>
      <c r="V70" s="5"/>
      <c r="W70" s="5"/>
      <c r="X70" s="5"/>
      <c r="Y70" s="5"/>
    </row>
    <row r="71" spans="1:25" x14ac:dyDescent="0.3">
      <c r="A71" s="5"/>
      <c r="B71" s="5"/>
      <c r="C71" s="5"/>
      <c r="D71" s="5"/>
      <c r="E71" s="5"/>
      <c r="F71" s="5"/>
      <c r="G71" s="5"/>
      <c r="H71" s="5"/>
      <c r="I71" s="5"/>
      <c r="J71" s="5"/>
      <c r="K71" s="5"/>
      <c r="L71" s="5"/>
      <c r="M71" s="5"/>
      <c r="N71" s="5"/>
      <c r="O71" s="5"/>
      <c r="P71" s="5"/>
      <c r="Q71" s="5"/>
      <c r="R71" s="5"/>
      <c r="S71" s="5"/>
      <c r="T71" s="5"/>
      <c r="U71" s="5"/>
      <c r="V71" s="5"/>
      <c r="W71" s="5"/>
      <c r="X71" s="5"/>
      <c r="Y71" s="5"/>
    </row>
    <row r="72" spans="1:25" x14ac:dyDescent="0.3">
      <c r="A72" s="5"/>
      <c r="B72" s="5"/>
      <c r="C72" s="5"/>
      <c r="D72" s="5"/>
      <c r="E72" s="5"/>
      <c r="F72" s="5"/>
      <c r="G72" s="5"/>
      <c r="H72" s="5"/>
      <c r="I72" s="5"/>
      <c r="J72" s="5"/>
      <c r="K72" s="5"/>
      <c r="L72" s="5"/>
      <c r="M72" s="5"/>
      <c r="N72" s="5"/>
      <c r="O72" s="5"/>
      <c r="P72" s="5"/>
      <c r="Q72" s="5"/>
      <c r="R72" s="5"/>
      <c r="S72" s="5"/>
      <c r="T72" s="5"/>
      <c r="U72" s="5"/>
      <c r="V72" s="5"/>
      <c r="W72" s="5"/>
      <c r="X72" s="5"/>
      <c r="Y72" s="5"/>
    </row>
    <row r="73" spans="1:25" x14ac:dyDescent="0.3">
      <c r="A73" s="5"/>
      <c r="B73" s="5"/>
      <c r="C73" s="5"/>
      <c r="D73" s="5"/>
      <c r="E73" s="5"/>
      <c r="F73" s="5"/>
      <c r="G73" s="5"/>
      <c r="H73" s="5"/>
      <c r="I73" s="5"/>
      <c r="J73" s="5"/>
      <c r="K73" s="5"/>
      <c r="L73" s="5"/>
      <c r="M73" s="5"/>
      <c r="N73" s="5"/>
      <c r="O73" s="5"/>
      <c r="P73" s="5"/>
      <c r="Q73" s="5"/>
      <c r="R73" s="5"/>
      <c r="S73" s="5"/>
      <c r="T73" s="5"/>
      <c r="U73" s="5"/>
      <c r="V73" s="5"/>
      <c r="W73" s="5"/>
      <c r="X73" s="5"/>
      <c r="Y73" s="5"/>
    </row>
    <row r="74" spans="1:25" x14ac:dyDescent="0.3">
      <c r="A74" s="5"/>
      <c r="B74" s="5"/>
      <c r="C74" s="5"/>
      <c r="D74" s="5"/>
      <c r="E74" s="5"/>
      <c r="F74" s="5"/>
      <c r="G74" s="5"/>
      <c r="H74" s="5"/>
      <c r="I74" s="5"/>
      <c r="J74" s="5"/>
      <c r="K74" s="5"/>
      <c r="L74" s="5"/>
      <c r="M74" s="5"/>
      <c r="N74" s="5"/>
      <c r="O74" s="5"/>
      <c r="P74" s="5"/>
      <c r="Q74" s="5"/>
      <c r="R74" s="5"/>
      <c r="S74" s="5"/>
      <c r="T74" s="5"/>
      <c r="U74" s="5"/>
      <c r="V74" s="5"/>
      <c r="W74" s="5"/>
      <c r="X74" s="5"/>
      <c r="Y74" s="5"/>
    </row>
    <row r="75" spans="1:25" x14ac:dyDescent="0.3">
      <c r="A75" s="5"/>
      <c r="B75" s="5"/>
      <c r="C75" s="5"/>
      <c r="D75" s="5"/>
      <c r="E75" s="5"/>
      <c r="F75" s="5"/>
      <c r="G75" s="5"/>
      <c r="H75" s="5"/>
      <c r="I75" s="5"/>
      <c r="J75" s="5"/>
      <c r="K75" s="5"/>
      <c r="L75" s="5"/>
      <c r="M75" s="5"/>
      <c r="N75" s="5"/>
      <c r="O75" s="5"/>
      <c r="P75" s="5"/>
      <c r="Q75" s="5"/>
      <c r="R75" s="5"/>
      <c r="S75" s="5"/>
      <c r="T75" s="5"/>
      <c r="U75" s="5"/>
      <c r="V75" s="5"/>
      <c r="W75" s="5"/>
      <c r="X75" s="5"/>
      <c r="Y75" s="5"/>
    </row>
    <row r="76" spans="1:25" x14ac:dyDescent="0.3">
      <c r="A76" s="5"/>
      <c r="B76" s="5"/>
      <c r="C76" s="5"/>
      <c r="D76" s="5"/>
      <c r="E76" s="5"/>
      <c r="F76" s="5"/>
      <c r="G76" s="5"/>
      <c r="H76" s="5"/>
      <c r="I76" s="5"/>
      <c r="J76" s="5"/>
      <c r="K76" s="5"/>
      <c r="L76" s="5"/>
      <c r="M76" s="5"/>
      <c r="N76" s="5"/>
      <c r="O76" s="5"/>
      <c r="P76" s="5"/>
      <c r="Q76" s="5"/>
      <c r="R76" s="5"/>
      <c r="S76" s="5"/>
      <c r="T76" s="5"/>
      <c r="U76" s="5"/>
      <c r="V76" s="5"/>
      <c r="W76" s="5"/>
      <c r="X76" s="5"/>
      <c r="Y76" s="5"/>
    </row>
    <row r="77" spans="1:25" x14ac:dyDescent="0.3">
      <c r="A77" s="5"/>
      <c r="B77" s="5"/>
      <c r="C77" s="5"/>
      <c r="D77" s="5"/>
      <c r="E77" s="5"/>
      <c r="F77" s="5"/>
      <c r="G77" s="5"/>
      <c r="H77" s="5"/>
      <c r="I77" s="5"/>
      <c r="J77" s="5"/>
      <c r="K77" s="5"/>
      <c r="L77" s="5"/>
      <c r="M77" s="5"/>
      <c r="N77" s="5"/>
      <c r="O77" s="5"/>
      <c r="P77" s="5"/>
      <c r="Q77" s="5"/>
      <c r="R77" s="5"/>
      <c r="S77" s="5"/>
      <c r="T77" s="5"/>
      <c r="U77" s="5"/>
      <c r="V77" s="5"/>
      <c r="W77" s="5"/>
      <c r="X77" s="5"/>
      <c r="Y77" s="5"/>
    </row>
    <row r="78" spans="1:25" x14ac:dyDescent="0.3">
      <c r="A78" s="5"/>
      <c r="B78" s="5"/>
      <c r="C78" s="5"/>
      <c r="D78" s="5"/>
      <c r="E78" s="5"/>
      <c r="F78" s="5"/>
      <c r="G78" s="5"/>
      <c r="H78" s="5"/>
      <c r="I78" s="5"/>
      <c r="J78" s="5"/>
      <c r="K78" s="5"/>
      <c r="L78" s="5"/>
      <c r="M78" s="5"/>
      <c r="N78" s="5"/>
      <c r="O78" s="5"/>
      <c r="P78" s="5"/>
      <c r="Q78" s="5"/>
      <c r="R78" s="5"/>
      <c r="S78" s="5"/>
      <c r="T78" s="5"/>
      <c r="U78" s="5"/>
      <c r="V78" s="5"/>
      <c r="W78" s="5"/>
      <c r="X78" s="5"/>
      <c r="Y78" s="5"/>
    </row>
    <row r="79" spans="1:25" x14ac:dyDescent="0.3">
      <c r="A79" s="5"/>
      <c r="B79" s="5"/>
      <c r="C79" s="5"/>
      <c r="D79" s="5"/>
      <c r="E79" s="5"/>
      <c r="F79" s="5"/>
      <c r="G79" s="5"/>
      <c r="H79" s="5"/>
      <c r="I79" s="5"/>
      <c r="J79" s="5"/>
      <c r="K79" s="5"/>
      <c r="L79" s="5"/>
      <c r="M79" s="5"/>
      <c r="N79" s="5"/>
      <c r="O79" s="5"/>
      <c r="P79" s="5"/>
      <c r="Q79" s="5"/>
      <c r="R79" s="5"/>
      <c r="S79" s="5"/>
      <c r="T79" s="5"/>
      <c r="U79" s="5"/>
      <c r="V79" s="5"/>
      <c r="W79" s="5"/>
      <c r="X79" s="5"/>
      <c r="Y79" s="5"/>
    </row>
    <row r="80" spans="1:25" x14ac:dyDescent="0.3">
      <c r="A80" s="5"/>
      <c r="B80" s="5"/>
      <c r="C80" s="5"/>
      <c r="D80" s="5"/>
      <c r="E80" s="5"/>
      <c r="F80" s="5"/>
      <c r="G80" s="5"/>
      <c r="H80" s="5"/>
      <c r="I80" s="5"/>
      <c r="J80" s="5"/>
      <c r="K80" s="5"/>
      <c r="L80" s="5"/>
      <c r="M80" s="5"/>
      <c r="N80" s="5"/>
      <c r="O80" s="5"/>
      <c r="P80" s="5"/>
      <c r="Q80" s="5"/>
      <c r="R80" s="5"/>
      <c r="S80" s="5"/>
      <c r="T80" s="5"/>
      <c r="U80" s="5"/>
      <c r="V80" s="5"/>
      <c r="W80" s="5"/>
      <c r="X80" s="5"/>
      <c r="Y80" s="5"/>
    </row>
    <row r="81" spans="1:25" x14ac:dyDescent="0.3">
      <c r="A81" s="5"/>
      <c r="B81" s="5"/>
      <c r="C81" s="5"/>
      <c r="D81" s="5"/>
      <c r="E81" s="5"/>
      <c r="F81" s="5"/>
      <c r="G81" s="5"/>
      <c r="H81" s="5"/>
      <c r="I81" s="5"/>
      <c r="J81" s="5"/>
      <c r="K81" s="5"/>
      <c r="L81" s="5"/>
      <c r="M81" s="5"/>
      <c r="N81" s="5"/>
      <c r="O81" s="5"/>
      <c r="P81" s="5"/>
      <c r="Q81" s="5"/>
      <c r="R81" s="5"/>
      <c r="S81" s="5"/>
      <c r="T81" s="5"/>
      <c r="U81" s="5"/>
      <c r="V81" s="5"/>
      <c r="W81" s="5"/>
      <c r="X81" s="5"/>
      <c r="Y81" s="5"/>
    </row>
    <row r="82" spans="1:25" x14ac:dyDescent="0.3">
      <c r="A82" s="5"/>
      <c r="B82" s="5"/>
      <c r="C82" s="5"/>
      <c r="D82" s="5"/>
      <c r="E82" s="5"/>
      <c r="F82" s="5"/>
      <c r="G82" s="5"/>
      <c r="H82" s="5"/>
      <c r="I82" s="5"/>
      <c r="J82" s="5"/>
      <c r="K82" s="5"/>
      <c r="L82" s="5"/>
      <c r="M82" s="5"/>
      <c r="N82" s="5"/>
      <c r="O82" s="5"/>
      <c r="P82" s="5"/>
      <c r="Q82" s="5"/>
      <c r="R82" s="5"/>
      <c r="S82" s="5"/>
      <c r="T82" s="5"/>
      <c r="U82" s="5"/>
      <c r="V82" s="5"/>
      <c r="W82" s="5"/>
      <c r="X82" s="5"/>
      <c r="Y82" s="5"/>
    </row>
    <row r="83" spans="1:25" x14ac:dyDescent="0.3">
      <c r="A83" s="5"/>
      <c r="B83" s="5"/>
      <c r="C83" s="5"/>
      <c r="D83" s="5"/>
      <c r="E83" s="5"/>
      <c r="F83" s="5"/>
      <c r="G83" s="5"/>
      <c r="H83" s="5"/>
      <c r="I83" s="5"/>
      <c r="J83" s="5"/>
      <c r="K83" s="5"/>
      <c r="L83" s="5"/>
      <c r="M83" s="5"/>
      <c r="N83" s="5"/>
      <c r="O83" s="5"/>
      <c r="P83" s="5"/>
      <c r="Q83" s="5"/>
      <c r="R83" s="5"/>
      <c r="S83" s="5"/>
      <c r="T83" s="5"/>
      <c r="U83" s="5"/>
      <c r="V83" s="5"/>
      <c r="W83" s="5"/>
      <c r="X83" s="5"/>
      <c r="Y83" s="5"/>
    </row>
    <row r="84" spans="1:25" x14ac:dyDescent="0.3">
      <c r="A84" s="5"/>
      <c r="B84" s="5"/>
      <c r="C84" s="5"/>
      <c r="D84" s="5"/>
      <c r="E84" s="5"/>
      <c r="F84" s="5"/>
      <c r="G84" s="5"/>
      <c r="H84" s="5"/>
      <c r="I84" s="5"/>
      <c r="J84" s="5"/>
      <c r="K84" s="5"/>
      <c r="L84" s="5"/>
      <c r="M84" s="5"/>
      <c r="N84" s="5"/>
      <c r="O84" s="5"/>
      <c r="P84" s="5"/>
      <c r="Q84" s="5"/>
      <c r="R84" s="5"/>
      <c r="S84" s="5"/>
      <c r="T84" s="5"/>
      <c r="U84" s="5"/>
      <c r="V84" s="5"/>
      <c r="W84" s="5"/>
      <c r="X84" s="5"/>
      <c r="Y84" s="5"/>
    </row>
    <row r="85" spans="1:25" x14ac:dyDescent="0.3">
      <c r="A85" s="5"/>
      <c r="B85" s="5"/>
      <c r="C85" s="5"/>
      <c r="D85" s="5"/>
      <c r="E85" s="5"/>
      <c r="F85" s="5"/>
      <c r="G85" s="5"/>
      <c r="H85" s="5"/>
      <c r="I85" s="5"/>
      <c r="J85" s="5"/>
      <c r="K85" s="5"/>
      <c r="L85" s="5"/>
      <c r="M85" s="5"/>
      <c r="N85" s="5"/>
      <c r="O85" s="5"/>
      <c r="P85" s="5"/>
      <c r="Q85" s="5"/>
      <c r="R85" s="5"/>
      <c r="S85" s="5"/>
      <c r="T85" s="5"/>
      <c r="U85" s="5"/>
      <c r="V85" s="5"/>
      <c r="W85" s="5"/>
      <c r="X85" s="5"/>
      <c r="Y85" s="5"/>
    </row>
    <row r="86" spans="1:25" x14ac:dyDescent="0.3">
      <c r="A86" s="5"/>
      <c r="B86" s="5"/>
      <c r="C86" s="5"/>
      <c r="D86" s="5"/>
      <c r="E86" s="5"/>
      <c r="F86" s="5"/>
      <c r="G86" s="5"/>
      <c r="H86" s="5"/>
      <c r="I86" s="5"/>
      <c r="J86" s="5"/>
      <c r="K86" s="5"/>
      <c r="L86" s="5"/>
      <c r="M86" s="5"/>
      <c r="N86" s="5"/>
      <c r="O86" s="5"/>
      <c r="P86" s="5"/>
      <c r="Q86" s="5"/>
      <c r="R86" s="5"/>
      <c r="S86" s="5"/>
      <c r="T86" s="5"/>
      <c r="U86" s="5"/>
      <c r="V86" s="5"/>
      <c r="W86" s="5"/>
      <c r="X86" s="5"/>
      <c r="Y86" s="5"/>
    </row>
    <row r="87" spans="1:25" x14ac:dyDescent="0.3">
      <c r="A87" s="5"/>
      <c r="B87" s="5"/>
      <c r="C87" s="5"/>
      <c r="D87" s="5"/>
      <c r="E87" s="5"/>
      <c r="F87" s="5"/>
      <c r="G87" s="5"/>
      <c r="H87" s="5"/>
      <c r="I87" s="5"/>
      <c r="J87" s="5"/>
      <c r="K87" s="5"/>
      <c r="L87" s="5"/>
      <c r="M87" s="5"/>
      <c r="N87" s="5"/>
      <c r="O87" s="5"/>
      <c r="P87" s="5"/>
      <c r="Q87" s="5"/>
      <c r="R87" s="5"/>
      <c r="S87" s="5"/>
      <c r="T87" s="5"/>
      <c r="U87" s="5"/>
      <c r="V87" s="5"/>
      <c r="W87" s="5"/>
      <c r="X87" s="5"/>
      <c r="Y87" s="5"/>
    </row>
    <row r="88" spans="1:25" x14ac:dyDescent="0.3">
      <c r="A88" s="5"/>
      <c r="B88" s="5"/>
      <c r="C88" s="5"/>
      <c r="D88" s="5"/>
      <c r="E88" s="5"/>
      <c r="F88" s="5"/>
      <c r="G88" s="5"/>
      <c r="H88" s="5"/>
      <c r="I88" s="5"/>
      <c r="J88" s="5"/>
      <c r="K88" s="5"/>
      <c r="L88" s="5"/>
      <c r="M88" s="5"/>
      <c r="N88" s="5"/>
      <c r="O88" s="5"/>
      <c r="P88" s="5"/>
      <c r="Q88" s="5"/>
      <c r="R88" s="5"/>
      <c r="S88" s="5"/>
      <c r="T88" s="5"/>
      <c r="U88" s="5"/>
      <c r="V88" s="5"/>
      <c r="W88" s="5"/>
      <c r="X88" s="5"/>
      <c r="Y88" s="5"/>
    </row>
    <row r="89" spans="1:25" x14ac:dyDescent="0.3">
      <c r="A89" s="5"/>
      <c r="B89" s="5"/>
      <c r="C89" s="5"/>
      <c r="D89" s="5"/>
      <c r="E89" s="5"/>
      <c r="F89" s="5"/>
      <c r="G89" s="5"/>
      <c r="H89" s="5"/>
      <c r="I89" s="5"/>
      <c r="J89" s="5"/>
      <c r="K89" s="5"/>
      <c r="L89" s="5"/>
      <c r="M89" s="5"/>
      <c r="N89" s="5"/>
      <c r="O89" s="5"/>
      <c r="P89" s="5"/>
      <c r="Q89" s="5"/>
      <c r="R89" s="5"/>
      <c r="S89" s="5"/>
      <c r="T89" s="5"/>
      <c r="U89" s="5"/>
      <c r="V89" s="5"/>
      <c r="W89" s="5"/>
      <c r="X89" s="5"/>
      <c r="Y89" s="5"/>
    </row>
    <row r="90" spans="1:25" x14ac:dyDescent="0.3">
      <c r="A90" s="5"/>
      <c r="B90" s="5"/>
      <c r="C90" s="5"/>
      <c r="D90" s="5"/>
      <c r="E90" s="5"/>
      <c r="F90" s="5"/>
      <c r="G90" s="5"/>
      <c r="H90" s="5"/>
      <c r="I90" s="5"/>
      <c r="J90" s="5"/>
      <c r="K90" s="5"/>
      <c r="L90" s="5"/>
      <c r="M90" s="5"/>
      <c r="N90" s="5"/>
      <c r="O90" s="5"/>
      <c r="P90" s="5"/>
      <c r="Q90" s="5"/>
      <c r="R90" s="5"/>
      <c r="S90" s="5"/>
      <c r="T90" s="5"/>
      <c r="U90" s="5"/>
      <c r="V90" s="5"/>
      <c r="W90" s="5"/>
      <c r="X90" s="5"/>
      <c r="Y90" s="5"/>
    </row>
    <row r="91" spans="1:25" x14ac:dyDescent="0.3">
      <c r="A91" s="5"/>
      <c r="B91" s="5"/>
      <c r="C91" s="5"/>
      <c r="D91" s="5"/>
      <c r="E91" s="5"/>
      <c r="F91" s="5"/>
      <c r="G91" s="5"/>
      <c r="H91" s="5"/>
      <c r="I91" s="5"/>
      <c r="J91" s="5"/>
      <c r="K91" s="5"/>
      <c r="L91" s="5"/>
      <c r="M91" s="5"/>
      <c r="N91" s="5"/>
      <c r="O91" s="5"/>
      <c r="P91" s="5"/>
      <c r="Q91" s="5"/>
      <c r="R91" s="5"/>
      <c r="S91" s="5"/>
      <c r="T91" s="5"/>
      <c r="U91" s="5"/>
      <c r="V91" s="5"/>
      <c r="W91" s="5"/>
      <c r="X91" s="5"/>
      <c r="Y91" s="5"/>
    </row>
    <row r="92" spans="1:25" x14ac:dyDescent="0.3">
      <c r="A92" s="5"/>
      <c r="B92" s="5"/>
      <c r="C92" s="5"/>
      <c r="D92" s="5"/>
      <c r="E92" s="5"/>
      <c r="F92" s="5"/>
      <c r="G92" s="5"/>
      <c r="H92" s="5"/>
      <c r="I92" s="5"/>
      <c r="J92" s="5"/>
      <c r="K92" s="5"/>
      <c r="L92" s="5"/>
      <c r="M92" s="5"/>
      <c r="N92" s="5"/>
      <c r="O92" s="5"/>
      <c r="P92" s="5"/>
      <c r="Q92" s="5"/>
      <c r="R92" s="5"/>
      <c r="S92" s="5"/>
      <c r="T92" s="5"/>
      <c r="U92" s="5"/>
      <c r="V92" s="5"/>
      <c r="W92" s="5"/>
      <c r="X92" s="5"/>
      <c r="Y92" s="5"/>
    </row>
    <row r="93" spans="1:25" x14ac:dyDescent="0.3">
      <c r="A93" s="5"/>
      <c r="B93" s="5"/>
      <c r="C93" s="5"/>
      <c r="D93" s="5"/>
      <c r="E93" s="5"/>
      <c r="F93" s="5"/>
      <c r="G93" s="5"/>
      <c r="H93" s="5"/>
      <c r="I93" s="5"/>
      <c r="J93" s="5"/>
      <c r="K93" s="5"/>
      <c r="L93" s="5"/>
      <c r="M93" s="5"/>
      <c r="N93" s="5"/>
      <c r="O93" s="5"/>
      <c r="P93" s="5"/>
      <c r="Q93" s="5"/>
      <c r="R93" s="5"/>
      <c r="S93" s="5"/>
      <c r="T93" s="5"/>
      <c r="U93" s="5"/>
      <c r="V93" s="5"/>
      <c r="W93" s="5"/>
      <c r="X93" s="5"/>
      <c r="Y93" s="5"/>
    </row>
    <row r="94" spans="1:25" x14ac:dyDescent="0.3">
      <c r="A94" s="5"/>
      <c r="B94" s="5"/>
      <c r="C94" s="5"/>
      <c r="D94" s="5"/>
      <c r="E94" s="5"/>
      <c r="F94" s="5"/>
      <c r="G94" s="5"/>
      <c r="H94" s="5"/>
      <c r="I94" s="5"/>
      <c r="J94" s="5"/>
      <c r="K94" s="5"/>
      <c r="L94" s="5"/>
      <c r="M94" s="5"/>
      <c r="N94" s="5"/>
      <c r="O94" s="5"/>
      <c r="P94" s="5"/>
      <c r="Q94" s="5"/>
      <c r="R94" s="5"/>
      <c r="S94" s="5"/>
      <c r="T94" s="5"/>
      <c r="U94" s="5"/>
      <c r="V94" s="5"/>
      <c r="W94" s="5"/>
      <c r="X94" s="5"/>
      <c r="Y94" s="5"/>
    </row>
    <row r="95" spans="1:25" x14ac:dyDescent="0.3">
      <c r="A95" s="5"/>
      <c r="B95" s="5"/>
      <c r="C95" s="5"/>
      <c r="D95" s="5"/>
      <c r="E95" s="5"/>
      <c r="F95" s="5"/>
      <c r="G95" s="5"/>
      <c r="H95" s="5"/>
      <c r="I95" s="5"/>
      <c r="J95" s="5"/>
      <c r="K95" s="5"/>
      <c r="L95" s="5"/>
      <c r="M95" s="5"/>
      <c r="N95" s="5"/>
      <c r="O95" s="5"/>
      <c r="P95" s="5"/>
      <c r="Q95" s="5"/>
      <c r="R95" s="5"/>
      <c r="S95" s="5"/>
      <c r="T95" s="5"/>
      <c r="U95" s="5"/>
      <c r="V95" s="5"/>
      <c r="W95" s="5"/>
      <c r="X95" s="5"/>
      <c r="Y95" s="5"/>
    </row>
    <row r="96" spans="1:25" x14ac:dyDescent="0.3">
      <c r="A96" s="5"/>
      <c r="B96" s="5"/>
      <c r="C96" s="5"/>
      <c r="D96" s="5"/>
      <c r="E96" s="5"/>
      <c r="F96" s="5"/>
      <c r="G96" s="5"/>
      <c r="H96" s="5"/>
      <c r="I96" s="5"/>
      <c r="J96" s="5"/>
      <c r="K96" s="5"/>
      <c r="L96" s="5"/>
      <c r="M96" s="5"/>
      <c r="N96" s="5"/>
      <c r="O96" s="5"/>
      <c r="P96" s="5"/>
      <c r="Q96" s="5"/>
      <c r="R96" s="5"/>
      <c r="S96" s="5"/>
      <c r="T96" s="5"/>
      <c r="U96" s="5"/>
      <c r="V96" s="5"/>
      <c r="W96" s="5"/>
      <c r="X96" s="5"/>
      <c r="Y96" s="5"/>
    </row>
    <row r="97" spans="1:25" x14ac:dyDescent="0.3">
      <c r="A97" s="5"/>
      <c r="B97" s="5"/>
      <c r="C97" s="5"/>
      <c r="D97" s="5"/>
      <c r="E97" s="5"/>
      <c r="F97" s="5"/>
      <c r="G97" s="5"/>
      <c r="H97" s="5"/>
      <c r="I97" s="5"/>
      <c r="J97" s="5"/>
      <c r="K97" s="5"/>
      <c r="L97" s="5"/>
      <c r="M97" s="5"/>
      <c r="N97" s="5"/>
      <c r="O97" s="5"/>
      <c r="P97" s="5"/>
      <c r="Q97" s="5"/>
      <c r="R97" s="5"/>
      <c r="S97" s="5"/>
      <c r="T97" s="5"/>
      <c r="U97" s="5"/>
      <c r="V97" s="5"/>
      <c r="W97" s="5"/>
      <c r="X97" s="5"/>
      <c r="Y97" s="5"/>
    </row>
    <row r="98" spans="1:25" x14ac:dyDescent="0.3">
      <c r="A98" s="5"/>
      <c r="B98" s="5"/>
      <c r="C98" s="5"/>
      <c r="D98" s="5"/>
      <c r="E98" s="5"/>
      <c r="F98" s="5"/>
      <c r="G98" s="5"/>
      <c r="H98" s="5"/>
      <c r="I98" s="5"/>
      <c r="J98" s="5"/>
      <c r="K98" s="5"/>
      <c r="L98" s="5"/>
      <c r="M98" s="5"/>
      <c r="N98" s="5"/>
      <c r="O98" s="5"/>
      <c r="P98" s="5"/>
      <c r="Q98" s="5"/>
      <c r="R98" s="5"/>
      <c r="S98" s="5"/>
      <c r="T98" s="5"/>
      <c r="U98" s="5"/>
      <c r="V98" s="5"/>
      <c r="W98" s="5"/>
      <c r="X98" s="5"/>
      <c r="Y98" s="5"/>
    </row>
    <row r="99" spans="1:25" x14ac:dyDescent="0.3">
      <c r="A99" s="5"/>
      <c r="B99" s="5"/>
      <c r="C99" s="5"/>
      <c r="D99" s="5"/>
      <c r="E99" s="5"/>
      <c r="F99" s="5"/>
      <c r="G99" s="5"/>
      <c r="H99" s="5"/>
      <c r="I99" s="5"/>
      <c r="J99" s="5"/>
      <c r="K99" s="5"/>
      <c r="L99" s="5"/>
      <c r="M99" s="5"/>
      <c r="N99" s="5"/>
      <c r="O99" s="5"/>
      <c r="P99" s="5"/>
      <c r="Q99" s="5"/>
      <c r="R99" s="5"/>
      <c r="S99" s="5"/>
      <c r="T99" s="5"/>
      <c r="U99" s="5"/>
      <c r="V99" s="5"/>
      <c r="W99" s="5"/>
      <c r="X99" s="5"/>
      <c r="Y99" s="5"/>
    </row>
    <row r="100" spans="1:25"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CustomerData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 prasath S</cp:lastModifiedBy>
  <dcterms:created xsi:type="dcterms:W3CDTF">2025-11-13T09:35:23Z</dcterms:created>
  <dcterms:modified xsi:type="dcterms:W3CDTF">2025-12-01T12:22:32Z</dcterms:modified>
</cp:coreProperties>
</file>